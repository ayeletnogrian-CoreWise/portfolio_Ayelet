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גדרות" sheetId="1" state="visible" r:id="rId3"/>
    <sheet name="נתוני_בסיס" sheetId="2" state="visible" r:id="rId4"/>
    <sheet name="שיבוץ" sheetId="3" state="visible" r:id="rId5"/>
    <sheet name="לוח_יומי_כללי" sheetId="4" state="visible" r:id="rId6"/>
    <sheet name="לוח_שבועי_כללי" sheetId="5" state="visible" r:id="rId7"/>
    <sheet name="לוח_יומי_מחלקה" sheetId="6" state="visible" r:id="rId8"/>
    <sheet name="לוח_שבועי_מחלקה" sheetId="7" state="visible" r:id="rId9"/>
    <sheet name="סיכום_יומי" sheetId="8" state="visible" r:id="rId10"/>
    <sheet name="סיכום_שבועי" sheetId="9" state="visible" r:id="rId11"/>
    <sheet name="התרעות_עומס" sheetId="10" state="visible" r:id="rId12"/>
    <sheet name="מעקב_חודשי" sheetId="11" state="visible" r:id="rId13"/>
    <sheet name="תחזית" sheetId="12" state="visible" r:id="rId14"/>
    <sheet name="דשבורד_מנהלים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<sst xmlns="http://schemas.openxmlformats.org/spreadsheetml/2006/main" count="292" uniqueCount="133">
  <si>
    <t xml:space="preserve">⚙  הגדרות מערכת ניהול כוח אדם במילואים</t>
  </si>
  <si>
    <t xml:space="preserve">◀ תאריך תחילת שבוע</t>
  </si>
  <si>
    <t xml:space="preserve">← שנה את התאריך בתא C3 לעדכון אוטומטי של כל הגיליונות</t>
  </si>
  <si>
    <t xml:space="preserve">ימי השבוע</t>
  </si>
  <si>
    <t xml:space="preserve">א׳</t>
  </si>
  <si>
    <t xml:space="preserve">ב׳</t>
  </si>
  <si>
    <t xml:space="preserve">ג׳</t>
  </si>
  <si>
    <t xml:space="preserve">ד׳</t>
  </si>
  <si>
    <t xml:space="preserve">ה׳</t>
  </si>
  <si>
    <t xml:space="preserve">ו׳</t>
  </si>
  <si>
    <t xml:space="preserve">ש׳</t>
  </si>
  <si>
    <t xml:space="preserve">משמרות</t>
  </si>
  <si>
    <t xml:space="preserve">בוקר</t>
  </si>
  <si>
    <t xml:space="preserve">06:00–14:00</t>
  </si>
  <si>
    <t xml:space="preserve">אמצע</t>
  </si>
  <si>
    <t xml:space="preserve">14:00–22:00</t>
  </si>
  <si>
    <t xml:space="preserve">ערב</t>
  </si>
  <si>
    <t xml:space="preserve">22:00–06:00</t>
  </si>
  <si>
    <t xml:space="preserve">סף התרעת רצף משמרות</t>
  </si>
  <si>
    <t xml:space="preserve">מקרא צבעי סטטוס</t>
  </si>
  <si>
    <t xml:space="preserve">✓ מאויש</t>
  </si>
  <si>
    <t xml:space="preserve">⚠ חוסר</t>
  </si>
  <si>
    <t xml:space="preserve">↑ עודף</t>
  </si>
  <si>
    <t xml:space="preserve">⚡ עומס 7+ משמרות</t>
  </si>
  <si>
    <t xml:space="preserve">הוראות שימוש</t>
  </si>
  <si>
    <r>
      <rPr>
        <sz val="9"/>
        <color rgb="FF666680"/>
        <rFont val="Calibri"/>
        <family val="0"/>
        <charset val="1"/>
      </rPr>
      <t xml:space="preserve">1. </t>
    </r>
    <r>
      <rPr>
        <sz val="9"/>
        <color rgb="FF666680"/>
        <rFont val="FreeSans"/>
        <family val="2"/>
      </rPr>
      <t xml:space="preserve">עדכן את תאריך תחילת השבוע בתא </t>
    </r>
    <r>
      <rPr>
        <sz val="9"/>
        <color rgb="FF666680"/>
        <rFont val="Calibri"/>
        <family val="0"/>
        <charset val="1"/>
      </rPr>
      <t xml:space="preserve">C3 — </t>
    </r>
    <r>
      <rPr>
        <sz val="9"/>
        <color rgb="FF666680"/>
        <rFont val="FreeSans"/>
        <family val="2"/>
      </rPr>
      <t xml:space="preserve">כל הגיליונות יתעדכנו אוטומטית</t>
    </r>
  </si>
  <si>
    <r>
      <rPr>
        <sz val="9"/>
        <color rgb="FF666680"/>
        <rFont val="Calibri"/>
        <family val="0"/>
        <charset val="1"/>
      </rPr>
      <t xml:space="preserve">2. </t>
    </r>
    <r>
      <rPr>
        <sz val="9"/>
        <color rgb="FF666680"/>
        <rFont val="FreeSans"/>
        <family val="2"/>
      </rPr>
      <t xml:space="preserve">הזן נתוני בסיס בגיליון נתוני</t>
    </r>
    <r>
      <rPr>
        <sz val="9"/>
        <color rgb="FF666680"/>
        <rFont val="Calibri"/>
        <family val="0"/>
        <charset val="1"/>
      </rPr>
      <t xml:space="preserve">_</t>
    </r>
    <r>
      <rPr>
        <sz val="9"/>
        <color rgb="FF666680"/>
        <rFont val="FreeSans"/>
        <family val="2"/>
      </rPr>
      <t xml:space="preserve">בסיס</t>
    </r>
    <r>
      <rPr>
        <sz val="9"/>
        <color rgb="FF666680"/>
        <rFont val="Calibri"/>
        <family val="0"/>
        <charset val="1"/>
      </rPr>
      <t xml:space="preserve">: </t>
    </r>
    <r>
      <rPr>
        <sz val="9"/>
        <color rgb="FF666680"/>
        <rFont val="FreeSans"/>
        <family val="2"/>
      </rPr>
      <t xml:space="preserve">מחלקות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תפקידים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עובדים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יועצים ותקנים</t>
    </r>
  </si>
  <si>
    <r>
      <rPr>
        <sz val="9"/>
        <color rgb="FF666680"/>
        <rFont val="Calibri"/>
        <family val="0"/>
        <charset val="1"/>
      </rPr>
      <t xml:space="preserve">3. </t>
    </r>
    <r>
      <rPr>
        <sz val="9"/>
        <color rgb="FF666680"/>
        <rFont val="FreeSans"/>
        <family val="2"/>
      </rPr>
      <t xml:space="preserve">הזן שיבוצים יומיים בגיליון שיבוץ — תקן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שובצו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פער וסטטוס מחושבים אוטומטית</t>
    </r>
  </si>
  <si>
    <r>
      <rPr>
        <sz val="9"/>
        <color rgb="FF666680"/>
        <rFont val="Calibri"/>
        <family val="0"/>
        <charset val="1"/>
      </rPr>
      <t xml:space="preserve">4. </t>
    </r>
    <r>
      <rPr>
        <sz val="9"/>
        <color rgb="FF666680"/>
        <rFont val="FreeSans"/>
        <family val="2"/>
      </rPr>
      <t xml:space="preserve">צפה בלוחות המשמרות</t>
    </r>
    <r>
      <rPr>
        <sz val="9"/>
        <color rgb="FF666680"/>
        <rFont val="Calibri"/>
        <family val="0"/>
        <charset val="1"/>
      </rPr>
      <t xml:space="preserve">, </t>
    </r>
    <r>
      <rPr>
        <sz val="9"/>
        <color rgb="FF666680"/>
        <rFont val="FreeSans"/>
        <family val="2"/>
      </rPr>
      <t xml:space="preserve">הסיכומים ודשבורד המנהלים לתמונת מצב מלאה</t>
    </r>
  </si>
  <si>
    <r>
      <rPr>
        <sz val="9"/>
        <color rgb="FF666680"/>
        <rFont val="Calibri"/>
        <family val="0"/>
        <charset val="1"/>
      </rPr>
      <t xml:space="preserve">5. </t>
    </r>
    <r>
      <rPr>
        <sz val="9"/>
        <color rgb="FF666680"/>
        <rFont val="FreeSans"/>
        <family val="2"/>
      </rPr>
      <t xml:space="preserve">גיליון התרעות</t>
    </r>
    <r>
      <rPr>
        <sz val="9"/>
        <color rgb="FF666680"/>
        <rFont val="Calibri"/>
        <family val="0"/>
        <charset val="1"/>
      </rPr>
      <t xml:space="preserve">_</t>
    </r>
    <r>
      <rPr>
        <sz val="9"/>
        <color rgb="FF666680"/>
        <rFont val="FreeSans"/>
        <family val="2"/>
      </rPr>
      <t xml:space="preserve">עומס מסמן אוטומטית עובדים עם </t>
    </r>
    <r>
      <rPr>
        <sz val="9"/>
        <color rgb="FF666680"/>
        <rFont val="Calibri"/>
        <family val="0"/>
        <charset val="1"/>
      </rPr>
      <t xml:space="preserve">7+ </t>
    </r>
    <r>
      <rPr>
        <sz val="9"/>
        <color rgb="FF666680"/>
        <rFont val="FreeSans"/>
        <family val="2"/>
      </rPr>
      <t xml:space="preserve">משמרות רצופות</t>
    </r>
  </si>
  <si>
    <r>
      <rPr>
        <sz val="9"/>
        <color rgb="FF666680"/>
        <rFont val="Calibri"/>
        <family val="0"/>
        <charset val="1"/>
      </rPr>
      <t xml:space="preserve">6. </t>
    </r>
    <r>
      <rPr>
        <sz val="9"/>
        <color rgb="FF666680"/>
        <rFont val="FreeSans"/>
        <family val="2"/>
      </rPr>
      <t xml:space="preserve">גיליון תחזית מציג תחזית פערים</t>
    </r>
    <r>
      <rPr>
        <sz val="9"/>
        <color rgb="FF666680"/>
        <rFont val="Calibri"/>
        <family val="0"/>
        <charset val="1"/>
      </rPr>
      <t xml:space="preserve">/</t>
    </r>
    <r>
      <rPr>
        <sz val="9"/>
        <color rgb="FF666680"/>
        <rFont val="FreeSans"/>
        <family val="2"/>
      </rPr>
      <t xml:space="preserve">עודפים לפי נתוני התקן הקיימים</t>
    </r>
  </si>
  <si>
    <t xml:space="preserve">📋  דירקטוריית נתוני בסיס — מחלקות, תפקידים, עובדים, יועצים ותקנים</t>
  </si>
  <si>
    <t xml:space="preserve">מחלקות</t>
  </si>
  <si>
    <t xml:space="preserve">צוות</t>
  </si>
  <si>
    <t xml:space="preserve">מחלקה</t>
  </si>
  <si>
    <t xml:space="preserve">תפקידים</t>
  </si>
  <si>
    <t xml:space="preserve">שם</t>
  </si>
  <si>
    <t xml:space="preserve">תפקיד</t>
  </si>
  <si>
    <t xml:space="preserve">טלפון</t>
  </si>
  <si>
    <t xml:space="preserve">הערות</t>
  </si>
  <si>
    <t xml:space="preserve">שם יועץ</t>
  </si>
  <si>
    <t xml:space="preserve">תחום</t>
  </si>
  <si>
    <t xml:space="preserve">משמרת</t>
  </si>
  <si>
    <t xml:space="preserve">תקן</t>
  </si>
  <si>
    <t xml:space="preserve">כל השמות (עובדים+יועצים)</t>
  </si>
  <si>
    <t xml:space="preserve">📋  לוח שיבוץ — הזן כאן את השיבוצים היומיים</t>
  </si>
  <si>
    <t xml:space="preserve">תאריך</t>
  </si>
  <si>
    <t xml:space="preserve">סוג</t>
  </si>
  <si>
    <t xml:space="preserve">שובצו</t>
  </si>
  <si>
    <t xml:space="preserve">פער</t>
  </si>
  <si>
    <t xml:space="preserve">חוסר</t>
  </si>
  <si>
    <t xml:space="preserve">עודף</t>
  </si>
  <si>
    <t xml:space="preserve">סטטוס</t>
  </si>
  <si>
    <t xml:space="preserve">יום שבוע</t>
  </si>
  <si>
    <t xml:space="preserve">מדד רצף</t>
  </si>
  <si>
    <t xml:space="preserve">📅  לוח משמרות יומי — כל המחלקות יחד</t>
  </si>
  <si>
    <t xml:space="preserve">תאריך מוצג</t>
  </si>
  <si>
    <t xml:space="preserve">← ניתן לשנות ידנית לתאריך אחר</t>
  </si>
  <si>
    <t xml:space="preserve">סיכום יומי</t>
  </si>
  <si>
    <t xml:space="preserve">סה״כ</t>
  </si>
  <si>
    <t xml:space="preserve">📆  לוח משמרות שבועי — כל המחלקות יחד</t>
  </si>
  <si>
    <t xml:space="preserve">שבוע:</t>
  </si>
  <si>
    <t xml:space="preserve">עד:</t>
  </si>
  <si>
    <t xml:space="preserve">סה״כ שבועי</t>
  </si>
  <si>
    <t xml:space="preserve">📋  לוח יומי פר מחלקה — לפחות 5+ תפקידים בכל משמרת</t>
  </si>
  <si>
    <t xml:space="preserve">← בחר מחלקה</t>
  </si>
  <si>
    <t xml:space="preserve">⏱  משמרת בוקר</t>
  </si>
  <si>
    <t xml:space="preserve">שמות משובצים (עובדים ויועצים)</t>
  </si>
  <si>
    <t xml:space="preserve">סה״כ משמרת בוקר</t>
  </si>
  <si>
    <t xml:space="preserve">⏱  משמרת אמצע</t>
  </si>
  <si>
    <t xml:space="preserve">סה״כ משמרת אמצע</t>
  </si>
  <si>
    <t xml:space="preserve">⏱  משמרת ערב</t>
  </si>
  <si>
    <t xml:space="preserve">סה״כ משמרת ערב</t>
  </si>
  <si>
    <t xml:space="preserve">📆  לוח שבועי פר מחלקה</t>
  </si>
  <si>
    <t xml:space="preserve">משמרת / תפקיד</t>
  </si>
  <si>
    <t xml:space="preserve">📌  בוקר</t>
  </si>
  <si>
    <t xml:space="preserve">סה״כ בוקר</t>
  </si>
  <si>
    <t xml:space="preserve">📌  אמצע</t>
  </si>
  <si>
    <t xml:space="preserve">סה״כ אמצע</t>
  </si>
  <si>
    <t xml:space="preserve">📌  ערב</t>
  </si>
  <si>
    <t xml:space="preserve">סה״כ ערב</t>
  </si>
  <si>
    <t xml:space="preserve">📊  סיכום יומי מספרי — כמות אנשים לפי מחלקה ומשמרת</t>
  </si>
  <si>
    <t xml:space="preserve">סה״כ יומי</t>
  </si>
  <si>
    <t xml:space="preserve">תקן כולל</t>
  </si>
  <si>
    <t xml:space="preserve">📊  סיכום שבועי מספרי — לפי מחלקה ולכלל המחלקות</t>
  </si>
  <si>
    <t xml:space="preserve">בוקר שובצו</t>
  </si>
  <si>
    <t xml:space="preserve">אמצע שובצו</t>
  </si>
  <si>
    <t xml:space="preserve">ערב שובצו</t>
  </si>
  <si>
    <t xml:space="preserve">סה״כ שובצו</t>
  </si>
  <si>
    <t xml:space="preserve">תקן שבועי</t>
  </si>
  <si>
    <r>
      <rPr>
        <b val="true"/>
        <sz val="9"/>
        <color rgb="FF2D2D3A"/>
        <rFont val="Calibri"/>
        <family val="0"/>
        <charset val="1"/>
      </rPr>
      <t xml:space="preserve">% </t>
    </r>
    <r>
      <rPr>
        <b val="true"/>
        <sz val="9"/>
        <color rgb="FF2D2D3A"/>
        <rFont val="FreeSans"/>
        <family val="2"/>
      </rPr>
      <t xml:space="preserve">מילוי</t>
    </r>
  </si>
  <si>
    <t xml:space="preserve">עודף/חוסר</t>
  </si>
  <si>
    <t xml:space="preserve">⚡  התרעות עומס — רצף 7+ משמרות רצופות</t>
  </si>
  <si>
    <t xml:space="preserve">הגיליון עוקב אחרי עובדים שהגיעו לרצף 7 משמרות רצופות. עדכן את טווח התאריכים לבדיקה.</t>
  </si>
  <si>
    <t xml:space="preserve">מתאריך:</t>
  </si>
  <si>
    <t xml:space="preserve">עד תאריך:</t>
  </si>
  <si>
    <t xml:space="preserve">סף משמרות:</t>
  </si>
  <si>
    <t xml:space="preserve">שם עובד/יועץ</t>
  </si>
  <si>
    <t xml:space="preserve">משמרות בתקופה</t>
  </si>
  <si>
    <t xml:space="preserve">מקס׳ רצף</t>
  </si>
  <si>
    <t xml:space="preserve">אירועי עומס</t>
  </si>
  <si>
    <t xml:space="preserve">תאריך ראשון</t>
  </si>
  <si>
    <t xml:space="preserve">תאריך אחרון</t>
  </si>
  <si>
    <t xml:space="preserve">פירוט</t>
  </si>
  <si>
    <t xml:space="preserve">📅  מעקב חודשי / תקופתי — עומסי עובדים</t>
  </si>
  <si>
    <t xml:space="preserve">משמרות בחודש</t>
  </si>
  <si>
    <t xml:space="preserve">שבוע 1</t>
  </si>
  <si>
    <t xml:space="preserve">שבוע 2</t>
  </si>
  <si>
    <t xml:space="preserve">שבוע 3</t>
  </si>
  <si>
    <t xml:space="preserve">שבוע 4</t>
  </si>
  <si>
    <t xml:space="preserve">🔮  תחזית פערים ועודפים — 4 שבועות קדימה</t>
  </si>
  <si>
    <t xml:space="preserve">התחזית מבוססת על נתוני התקן הקיימים. הזן שיבוצים בגיליון שיבוץ לדיוק מרבי.</t>
  </si>
  <si>
    <t xml:space="preserve">שבוע 1 (נוכחי)</t>
  </si>
  <si>
    <t xml:space="preserve">סיכום תחזית</t>
  </si>
  <si>
    <t xml:space="preserve">• עמודות 'פער' חיוביות = חוסר כוח אדם (צבע אדום)</t>
  </si>
  <si>
    <t xml:space="preserve">• עמודות 'פער' שליליות = עודף כוח אדם (צבע כתום)</t>
  </si>
  <si>
    <r>
      <rPr>
        <sz val="9"/>
        <color rgb="FF666680"/>
        <rFont val="Calibri"/>
        <family val="0"/>
        <charset val="1"/>
      </rPr>
      <t xml:space="preserve">• '</t>
    </r>
    <r>
      <rPr>
        <sz val="9"/>
        <color rgb="FF666680"/>
        <rFont val="FreeSans"/>
        <family val="2"/>
      </rPr>
      <t xml:space="preserve">תקן שבועי</t>
    </r>
    <r>
      <rPr>
        <sz val="9"/>
        <color rgb="FF666680"/>
        <rFont val="Calibri"/>
        <family val="0"/>
        <charset val="1"/>
      </rPr>
      <t xml:space="preserve">' = </t>
    </r>
    <r>
      <rPr>
        <sz val="9"/>
        <color rgb="FF666680"/>
        <rFont val="FreeSans"/>
        <family val="2"/>
      </rPr>
      <t xml:space="preserve">סכום כל התקנים </t>
    </r>
    <r>
      <rPr>
        <sz val="9"/>
        <color rgb="FF666680"/>
        <rFont val="Calibri"/>
        <family val="0"/>
        <charset val="1"/>
      </rPr>
      <t xml:space="preserve">× 3 </t>
    </r>
    <r>
      <rPr>
        <sz val="9"/>
        <color rgb="FF666680"/>
        <rFont val="FreeSans"/>
        <family val="2"/>
      </rPr>
      <t xml:space="preserve">משמרות</t>
    </r>
  </si>
  <si>
    <t xml:space="preserve">• הוסף שיבוצים בגיליון שיבוץ לעדכון אוטומטי של עמודות 'שובצו'</t>
  </si>
  <si>
    <t xml:space="preserve">🎯  דשבורד מנהלים — תמונת מצב מלאה</t>
  </si>
  <si>
    <t xml:space="preserve">👥 שובצו היום</t>
  </si>
  <si>
    <t xml:space="preserve">📋 תקן יומי</t>
  </si>
  <si>
    <t xml:space="preserve">⚠ חוסר היום</t>
  </si>
  <si>
    <t xml:space="preserve">↑ עודף היום</t>
  </si>
  <si>
    <t xml:space="preserve">⚡ עומסים השבוע</t>
  </si>
  <si>
    <t xml:space="preserve">🏢 מחלקות פעילות</t>
  </si>
  <si>
    <t xml:space="preserve">📋 טבלה יומית — כל המחלקות</t>
  </si>
  <si>
    <t xml:space="preserve">בוקר תקן</t>
  </si>
  <si>
    <t xml:space="preserve">אמצע תקן</t>
  </si>
  <si>
    <t xml:space="preserve">ערב תקן</t>
  </si>
  <si>
    <t xml:space="preserve">סה״כ תקן</t>
  </si>
  <si>
    <t xml:space="preserve">📆 טבלה שבועית — סה״כ לפי מחלקה</t>
  </si>
  <si>
    <r>
      <rPr>
        <b val="true"/>
        <sz val="8"/>
        <color rgb="FF2D2D3A"/>
        <rFont val="Calibri"/>
        <family val="0"/>
        <charset val="1"/>
      </rPr>
      <t xml:space="preserve">% </t>
    </r>
    <r>
      <rPr>
        <b val="true"/>
        <sz val="8"/>
        <color rgb="FF2D2D3A"/>
        <rFont val="FreeSans"/>
        <family val="2"/>
      </rPr>
      <t xml:space="preserve">מילוי</t>
    </r>
  </si>
  <si>
    <t xml:space="preserve">📊 גרפים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</si>
</sst>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dd/mm"/>
    <numFmt numFmtId="167" formatCode="0"/>
    <numFmt numFmtId="168" formatCode="General"/>
    <numFmt numFmtId="169" formatCode="0%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FreeSans"/>
      <family val="2"/>
      <charset val="1"/>
    </font>
    <font>
      <b val="true"/>
      <sz val="11"/>
      <color rgb="FFFFFFFF"/>
      <name val="FreeSans"/>
      <family val="2"/>
      <charset val="1"/>
    </font>
    <font>
      <b val="true"/>
      <sz val="14"/>
      <color rgb="FF5B5CE2"/>
      <name val="Calibri"/>
      <family val="0"/>
      <charset val="1"/>
    </font>
    <font>
      <sz val="9"/>
      <color rgb="FF666680"/>
      <name val="FreeSans"/>
      <family val="2"/>
      <charset val="1"/>
    </font>
    <font>
      <b val="true"/>
      <sz val="9"/>
      <color rgb="FF2D2D3A"/>
      <name val="FreeSans"/>
      <family val="2"/>
      <charset val="1"/>
    </font>
    <font>
      <b val="true"/>
      <sz val="9"/>
      <color rgb="FF5B5CE2"/>
      <name val="FreeSans"/>
      <family val="2"/>
      <charset val="1"/>
    </font>
    <font>
      <sz val="10"/>
      <color rgb="FF5B5CE2"/>
      <name val="Calibri"/>
      <family val="0"/>
      <charset val="1"/>
    </font>
    <font>
      <b val="true"/>
      <sz val="10"/>
      <color rgb="FFFFFFFF"/>
      <name val="FreeSans"/>
      <family val="2"/>
      <charset val="1"/>
    </font>
    <font>
      <b val="true"/>
      <sz val="10"/>
      <color rgb="FF1A1A2E"/>
      <name val="FreeSans"/>
      <family val="2"/>
      <charset val="1"/>
    </font>
    <font>
      <sz val="10"/>
      <color rgb="FF1A1A2E"/>
      <name val="Calibri"/>
      <family val="0"/>
      <charset val="1"/>
    </font>
    <font>
      <b val="true"/>
      <sz val="16"/>
      <color rgb="FFF6E7A1"/>
      <name val="Calibri"/>
      <family val="0"/>
      <charset val="1"/>
    </font>
    <font>
      <b val="true"/>
      <sz val="10"/>
      <color rgb="FF2D2D3A"/>
      <name val="FreeSans"/>
      <family val="2"/>
      <charset val="1"/>
    </font>
    <font>
      <sz val="9"/>
      <color rgb="FF666680"/>
      <name val="Calibri"/>
      <family val="0"/>
      <charset val="1"/>
    </font>
    <font>
      <sz val="9"/>
      <color rgb="FF666680"/>
      <name val="FreeSans"/>
      <family val="2"/>
    </font>
    <font>
      <b val="true"/>
      <sz val="8"/>
      <color rgb="FF2D2D3A"/>
      <name val="FreeSans"/>
      <family val="2"/>
      <charset val="1"/>
    </font>
    <font>
      <sz val="9"/>
      <color rgb="FFD98BE8"/>
      <name val="Calibri"/>
      <family val="0"/>
      <charset val="1"/>
    </font>
    <font>
      <b val="true"/>
      <sz val="9"/>
      <color rgb="FFFFFFFF"/>
      <name val="FreeSans"/>
      <family val="2"/>
      <charset val="1"/>
    </font>
    <font>
      <sz val="9"/>
      <color rgb="FF1A1A2E"/>
      <name val="Calibri"/>
      <family val="0"/>
      <charset val="1"/>
    </font>
    <font>
      <b val="true"/>
      <sz val="12"/>
      <color rgb="FF24C7C9"/>
      <name val="Calibri"/>
      <family val="0"/>
      <charset val="1"/>
    </font>
    <font>
      <sz val="8"/>
      <color rgb="FF666680"/>
      <name val="FreeSans"/>
      <family val="2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FreeSans"/>
      <family val="2"/>
      <charset val="1"/>
    </font>
    <font>
      <b val="true"/>
      <sz val="10"/>
      <color rgb="FF2D2D3A"/>
      <name val="Calibri"/>
      <family val="0"/>
      <charset val="1"/>
    </font>
    <font>
      <b val="true"/>
      <sz val="10"/>
      <color rgb="FF24C7C9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0"/>
      <color rgb="FF5B5CE2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b val="true"/>
      <sz val="11"/>
      <color rgb="FF5B5CE2"/>
      <name val="Calibri"/>
      <family val="0"/>
      <charset val="1"/>
    </font>
    <font>
      <sz val="9"/>
      <color rgb="FF5B5CE2"/>
      <name val="Calibri"/>
      <family val="0"/>
      <charset val="1"/>
    </font>
    <font>
      <b val="true"/>
      <sz val="9"/>
      <color rgb="FF2D2D3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C7B8F4"/>
      <name val="Calibri"/>
      <family val="0"/>
      <charset val="1"/>
    </font>
    <font>
      <b val="true"/>
      <sz val="12"/>
      <color rgb="FF5B5CE2"/>
      <name val="Calibri"/>
      <family val="0"/>
      <charset val="1"/>
    </font>
    <font>
      <sz val="9"/>
      <color rgb="FF2D2D3A"/>
      <name val="Calibri"/>
      <family val="0"/>
      <charset val="1"/>
    </font>
    <font>
      <sz val="10"/>
      <color rgb="FF8D63E6"/>
      <name val="Calibri"/>
      <family val="0"/>
      <charset val="1"/>
    </font>
    <font>
      <b val="true"/>
      <sz val="9"/>
      <color rgb="FF2D2D3A"/>
      <name val="FreeSans"/>
      <family val="2"/>
    </font>
    <font>
      <b val="true"/>
      <sz val="9"/>
      <color rgb="FF1A1A2E"/>
      <name val="FreeSans"/>
      <family val="2"/>
      <charset val="1"/>
    </font>
    <font>
      <sz val="9"/>
      <color rgb="FF996600"/>
      <name val="FreeSans"/>
      <family val="2"/>
      <charset val="1"/>
    </font>
    <font>
      <b val="true"/>
      <sz val="13"/>
      <color rgb="FFF6E7A1"/>
      <name val="Calibri"/>
      <family val="0"/>
      <charset val="1"/>
    </font>
    <font>
      <b val="true"/>
      <sz val="11"/>
      <color rgb="FFD98BE8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sz val="9"/>
      <color rgb="FF4E8FE8"/>
      <name val="FreeSans"/>
      <family val="2"/>
      <charset val="1"/>
    </font>
    <font>
      <b val="true"/>
      <sz val="12"/>
      <color rgb="FFAEEBEC"/>
      <name val="Calibri"/>
      <family val="0"/>
      <charset val="1"/>
    </font>
    <font>
      <b val="true"/>
      <sz val="26"/>
      <color rgb="FFFFFFFF"/>
      <name val="Calibri"/>
      <family val="0"/>
      <charset val="1"/>
    </font>
    <font>
      <b val="true"/>
      <sz val="26"/>
      <color rgb="FF2D2D3A"/>
      <name val="Calibri"/>
      <family val="0"/>
      <charset val="1"/>
    </font>
    <font>
      <b val="true"/>
      <sz val="9"/>
      <color rgb="FF24C7C9"/>
      <name val="Calibri"/>
      <family val="0"/>
      <charset val="1"/>
    </font>
    <font>
      <b val="true"/>
      <sz val="9"/>
      <color rgb="FF5B5CE2"/>
      <name val="Calibri"/>
      <family val="0"/>
      <charset val="1"/>
    </font>
    <font>
      <b val="true"/>
      <sz val="8"/>
      <color rgb="FF1A1A2E"/>
      <name val="Calibri"/>
      <family val="0"/>
      <charset val="1"/>
    </font>
    <font>
      <b val="true"/>
      <sz val="8"/>
      <color rgb="FF2D2D3A"/>
      <name val="Calibri"/>
      <family val="0"/>
      <charset val="1"/>
    </font>
    <font>
      <b val="true"/>
      <sz val="8"/>
      <color rgb="FF2D2D3A"/>
      <name val="FreeSans"/>
      <family val="2"/>
    </font>
    <font>
      <sz val="9"/>
      <color rgb="FF8D63E6"/>
      <name val="Calibri"/>
      <family val="0"/>
      <charset val="1"/>
    </font>
    <font>
      <b val="true"/>
      <sz val="12"/>
      <color rgb="FFFFFFFF"/>
      <name val="FreeSans"/>
      <family val="2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5B5CE2"/>
        <bgColor rgb="FF8D63E6"/>
      </patternFill>
    </fill>
    <fill>
      <patternFill patternType="solid">
        <fgColor rgb="FF8D63E6"/>
        <bgColor rgb="FF5B5CE2"/>
      </patternFill>
    </fill>
    <fill>
      <patternFill patternType="solid">
        <fgColor rgb="FFF6F6F8"/>
        <bgColor rgb="FFF9F9F9"/>
      </patternFill>
    </fill>
    <fill>
      <patternFill patternType="solid">
        <fgColor rgb="FFECECF1"/>
        <bgColor rgb="FFF6F6F8"/>
      </patternFill>
    </fill>
    <fill>
      <patternFill patternType="solid">
        <fgColor rgb="FFD9DCE3"/>
        <bgColor rgb="FFD9D9D9"/>
      </patternFill>
    </fill>
    <fill>
      <patternFill patternType="solid">
        <fgColor rgb="FFC7B8F4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24C7C9"/>
        <bgColor rgb="FF00CCFF"/>
      </patternFill>
    </fill>
    <fill>
      <patternFill patternType="solid">
        <fgColor rgb="FF2D2D3A"/>
        <bgColor rgb="FF1A1A2E"/>
      </patternFill>
    </fill>
    <fill>
      <patternFill patternType="solid">
        <fgColor rgb="FFAEEBEC"/>
        <bgColor rgb="FFD9DCE3"/>
      </patternFill>
    </fill>
    <fill>
      <patternFill patternType="solid">
        <fgColor rgb="FFF6C7C7"/>
        <bgColor rgb="FFF8D7B5"/>
      </patternFill>
    </fill>
    <fill>
      <patternFill patternType="solid">
        <fgColor rgb="FFF8D7B5"/>
        <bgColor rgb="FFF6C7C7"/>
      </patternFill>
    </fill>
    <fill>
      <patternFill patternType="solid">
        <fgColor rgb="FFF6E7A1"/>
        <bgColor rgb="FFF8D7B5"/>
      </patternFill>
    </fill>
    <fill>
      <patternFill patternType="solid">
        <fgColor rgb="FF4E8FE8"/>
        <bgColor rgb="FF5B5CE2"/>
      </patternFill>
    </fill>
    <fill>
      <patternFill patternType="solid">
        <fgColor rgb="FFD98BE8"/>
        <bgColor rgb="FFC7B8F4"/>
      </patternFill>
    </fill>
    <fill>
      <patternFill patternType="solid">
        <fgColor rgb="FFCC8800"/>
        <bgColor rgb="FF996600"/>
      </patternFill>
    </fill>
    <fill>
      <patternFill patternType="solid">
        <fgColor rgb="FFFFF3CD"/>
        <bgColor rgb="FFFFF5F5"/>
      </patternFill>
    </fill>
    <fill>
      <patternFill patternType="solid">
        <fgColor rgb="FF8FC4F4"/>
        <bgColor rgb="FFC7B8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13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6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9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6" fillId="6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7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9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7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13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7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4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1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7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6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0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4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5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4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6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6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10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9" fillId="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10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6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9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24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4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4" fillId="1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7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5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4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5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4" fillId="1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5" fillId="1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1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8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8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8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3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3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0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3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3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0" fillId="8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24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1" fillId="1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2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6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9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8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1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6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9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8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1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43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4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4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5" fillId="19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6" fillId="1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15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7" fillId="9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7" fillId="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8" fillId="1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8" fillId="13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8" fillId="14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7" fillId="15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9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9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50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49" fillId="5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1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9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1" fillId="8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0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54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21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30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54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21" fillId="8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D98B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5B5CE2"/>
          <bgColor rgb="FF000000"/>
        </patternFill>
      </fill>
    </dxf>
    <dxf>
      <fill>
        <patternFill patternType="solid">
          <fgColor rgb="FF4E8FE8"/>
          <bgColor rgb="FF000000"/>
        </patternFill>
      </fill>
    </dxf>
    <dxf>
      <fill>
        <patternFill patternType="solid">
          <fgColor rgb="FF24C7C9"/>
          <bgColor rgb="FF000000"/>
        </patternFill>
      </fill>
    </dxf>
    <dxf>
      <fill>
        <patternFill patternType="solid">
          <fgColor rgb="FF8D63E6"/>
          <bgColor rgb="FF000000"/>
        </patternFill>
      </fill>
    </dxf>
    <dxf>
      <fill>
        <patternFill patternType="solid">
          <fgColor rgb="FFF6F6F8"/>
          <bgColor rgb="FF000000"/>
        </patternFill>
      </fill>
    </dxf>
    <dxf>
      <fill>
        <patternFill patternType="solid">
          <fgColor rgb="FFD9DCE3"/>
          <bgColor rgb="FF000000"/>
        </patternFill>
      </fill>
    </dxf>
    <dxf>
      <fill>
        <patternFill patternType="solid">
          <fgColor rgb="FF2D2D3A"/>
          <bgColor rgb="FF000000"/>
        </patternFill>
      </fill>
    </dxf>
    <dxf>
      <fill>
        <patternFill patternType="solid">
          <fgColor rgb="FFECECF1"/>
          <bgColor rgb="FF000000"/>
        </patternFill>
      </fill>
    </dxf>
    <dxf>
      <fill>
        <patternFill>
          <bgColor rgb="FFAEEBEC"/>
        </patternFill>
      </fill>
    </dxf>
    <dxf>
      <fill>
        <patternFill>
          <bgColor rgb="FFF6C7C7"/>
        </patternFill>
      </fill>
    </dxf>
    <dxf>
      <fill>
        <patternFill>
          <bgColor rgb="FFF8D7B5"/>
        </patternFill>
      </fill>
    </dxf>
    <dxf>
      <fill>
        <patternFill>
          <bgColor rgb="FFF6E7A1"/>
        </patternFill>
      </fill>
    </dxf>
    <dxf>
      <fill>
        <patternFill>
          <bgColor rgb="FFFFF5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5F5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D9D9D9"/>
      <rgbColor rgb="FF878787"/>
      <rgbColor rgb="FF4E8FE8"/>
      <rgbColor rgb="FF993366"/>
      <rgbColor rgb="FFFFF3CD"/>
      <rgbColor rgb="FFECECF1"/>
      <rgbColor rgb="FF660066"/>
      <rgbColor rgb="FFFF8080"/>
      <rgbColor rgb="FF0066CC"/>
      <rgbColor rgb="FFC7B8F4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AEEBEC"/>
      <rgbColor rgb="FFF6F6F8"/>
      <rgbColor rgb="FFF6E7A1"/>
      <rgbColor rgb="FF8FC4F4"/>
      <rgbColor rgb="FFF6C7C7"/>
      <rgbColor rgb="FFD98BE8"/>
      <rgbColor rgb="FFF8D7B5"/>
      <rgbColor rgb="FF5B5CE2"/>
      <rgbColor rgb="FF24C7C9"/>
      <rgbColor rgb="FF99CC00"/>
      <rgbColor rgb="FFD9DCE3"/>
      <rgbColor rgb="FFCC8800"/>
      <rgbColor rgb="FFFF6600"/>
      <rgbColor rgb="FF666680"/>
      <rgbColor rgb="FF8D63E6"/>
      <rgbColor rgb="FF003366"/>
      <rgbColor rgb="FF339966"/>
      <rgbColor rgb="FF003300"/>
      <rgbColor rgb="FF1A1A2E"/>
      <rgbColor rgb="FF993300"/>
      <rgbColor rgb="FF993366"/>
      <rgbColor rgb="FF333399"/>
      <rgbColor rgb="FF2D2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שיבוצים שבועיים לפי מחלקה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דשבורד_מנהלים!E28</c:f>
              <c:strCache>
                <c:ptCount val="1"/>
                <c:pt idx="0">
                  <c:v>סה״כ שובצו</c:v>
                </c:pt>
              </c:strCache>
            </c:strRef>
          </c:tx>
          <c:spPr>
            <a:solidFill>
              <a:srgbClr val="5b5ce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דשבורד_מנהלים!$A$29:$A$43</c:f>
              <c:strCache>
                <c:ptCount val="1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דשבורד_מנהלים!$E$29:$E$43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29450921"/>
        <c:axId val="33026915"/>
      </c:barChart>
      <c:catAx>
        <c:axId val="2945092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מחלקה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26915"/>
        <c:crosses val="autoZero"/>
        <c:auto val="1"/>
        <c:lblAlgn val="ctr"/>
        <c:lblOffset val="100"/>
        <c:noMultiLvlLbl val="0"/>
      </c:catAx>
      <c:valAx>
        <c:axId val="33026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כמות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0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-517680</xdr:colOff>
      <xdr:row>46</xdr:row>
      <xdr:rowOff>0</xdr:rowOff>
    </xdr:from>
    <xdr:to>
      <xdr:col>17</xdr:col>
      <xdr:colOff>-653400</xdr:colOff>
      <xdr:row>68</xdr:row>
      <xdr:rowOff>127800</xdr:rowOff>
    </xdr:to>
    <xdr:graphicFrame>
      <xdr:nvGraphicFramePr>
        <xdr:cNvPr id="0" name="Chart 1"/>
        <xdr:cNvGraphicFramePr/>
      </xdr:nvGraphicFramePr>
      <xdr:xfrm>
        <a:off x="-12926880" y="9925200"/>
        <a:ext cx="719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_Assign" displayName="T_Assign" ref="A2:O3" headerRowCount="1" totalsRowCount="0" totalsRowShown="0">
  <autoFilter ref="A2:O3"/>
  <tableColumns count="15">
    <tableColumn id="1" name="תאריך"/>
    <tableColumn id="2" name="משמרת"/>
    <tableColumn id="3" name="מחלקה"/>
    <tableColumn id="4" name="צוות"/>
    <tableColumn id="5" name="תפקיד"/>
    <tableColumn id="6" name="שם"/>
    <tableColumn id="7" name="סוג"/>
    <tableColumn id="8" name="תקן"/>
    <tableColumn id="9" name="שובצו"/>
    <tableColumn id="10" name="פער"/>
    <tableColumn id="11" name="חוסר"/>
    <tableColumn id="12" name="עודף"/>
    <tableColumn id="13" name="סטטוס"/>
    <tableColumn id="14" name="יום שבוע"/>
    <tableColumn id="15" name="מדד רצף"/>
  </tableColumns>
</table>
</file>

<file path=xl/tables/table2.xml><?xml version="1.0" encoding="utf-8"?>
<table xmlns="http://schemas.openxmlformats.org/spreadsheetml/2006/main" id="2" name="T_Consultants" displayName="T_Consultants" ref="O2:R52" headerRowCount="1" totalsRowCount="0" totalsRowShown="0">
  <autoFilter ref="O2:R52"/>
  <tableColumns count="4">
    <tableColumn id="1" name="שם יועץ"/>
    <tableColumn id="2" name="מחלקה"/>
    <tableColumn id="3" name="תחום"/>
    <tableColumn id="4" name="הערות"/>
  </tableColumns>
</table>
</file>

<file path=xl/tables/table3.xml><?xml version="1.0" encoding="utf-8"?>
<table xmlns="http://schemas.openxmlformats.org/spreadsheetml/2006/main" id="3" name="T_Depts" displayName="T_Depts" ref="A2:A17" headerRowCount="1" totalsRowCount="0" totalsRowShown="0">
  <autoFilter ref="A2:A17"/>
  <tableColumns count="1">
    <tableColumn id="1" name="מחלקות"/>
  </tableColumns>
</table>
</file>

<file path=xl/tables/table4.xml><?xml version="1.0" encoding="utf-8"?>
<table xmlns="http://schemas.openxmlformats.org/spreadsheetml/2006/main" id="4" name="T_Employees" displayName="T_Employees" ref="H2:M52" headerRowCount="1" totalsRowCount="0" totalsRowShown="0">
  <autoFilter ref="H2:M52"/>
  <tableColumns count="6">
    <tableColumn id="1" name="שם"/>
    <tableColumn id="2" name="מחלקה"/>
    <tableColumn id="3" name="צוות"/>
    <tableColumn id="4" name="תפקיד"/>
    <tableColumn id="5" name="טלפון"/>
    <tableColumn id="6" name="הערות"/>
  </tableColumns>
</table>
</file>

<file path=xl/tables/table5.xml><?xml version="1.0" encoding="utf-8"?>
<table xmlns="http://schemas.openxmlformats.org/spreadsheetml/2006/main" id="5" name="T_Roles" displayName="T_Roles" ref="F2:F17" headerRowCount="1" totalsRowCount="0" totalsRowShown="0">
  <autoFilter ref="F2:F17"/>
  <tableColumns count="1">
    <tableColumn id="1" name="תפקידים"/>
  </tableColumns>
</table>
</file>

<file path=xl/tables/table6.xml><?xml version="1.0" encoding="utf-8"?>
<table xmlns="http://schemas.openxmlformats.org/spreadsheetml/2006/main" id="6" name="T_Standards" displayName="T_Standards" ref="T2:W102" headerRowCount="1" totalsRowCount="0" totalsRowShown="0">
  <autoFilter ref="T2:W102"/>
  <tableColumns count="4">
    <tableColumn id="1" name="מחלקה"/>
    <tableColumn id="2" name="תפקיד"/>
    <tableColumn id="3" name="משמרת"/>
    <tableColumn id="4" name="תקן"/>
  </tableColumns>
</table>
</file>

<file path=xl/tables/table7.xml><?xml version="1.0" encoding="utf-8"?>
<table xmlns="http://schemas.openxmlformats.org/spreadsheetml/2006/main" id="7" name="T_Teams" displayName="T_Teams" ref="C2:D17" headerRowCount="1" totalsRowCount="0" totalsRowShown="0">
  <autoFilter ref="C2:D17"/>
  <tableColumns count="2">
    <tableColumn id="1" name="צוות"/>
    <tableColumn id="2" name="מחלקה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9" min="4" style="1" width="1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30" hidden="false" customHeight="true" outlineLevel="0" collapsed="false">
      <c r="A3" s="3" t="s">
        <v>1</v>
      </c>
      <c r="B3" s="3"/>
      <c r="C3" s="4" t="n">
        <v>46096</v>
      </c>
    </row>
    <row r="4" customFormat="false" ht="18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6" customFormat="false" ht="15" hidden="false" customHeight="true" outlineLevel="0" collapsed="false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customFormat="false" ht="15" hidden="false" customHeight="true" outlineLevel="0" collapsed="false">
      <c r="B7" s="8" t="n">
        <f aca="false">הגדרות!$C$3+0</f>
        <v>46096</v>
      </c>
      <c r="C7" s="8" t="n">
        <f aca="false">הגדרות!$C$3+1</f>
        <v>46097</v>
      </c>
      <c r="D7" s="8" t="n">
        <f aca="false">הגדרות!$C$3+2</f>
        <v>46098</v>
      </c>
      <c r="E7" s="8" t="n">
        <f aca="false">הגדרות!$C$3+3</f>
        <v>46099</v>
      </c>
      <c r="F7" s="8" t="n">
        <f aca="false">הגדרות!$C$3+4</f>
        <v>46100</v>
      </c>
      <c r="G7" s="8" t="n">
        <f aca="false">הגדרות!$C$3+5</f>
        <v>46101</v>
      </c>
      <c r="H7" s="8" t="n">
        <f aca="false">הגדרות!$C$3+6</f>
        <v>46102</v>
      </c>
    </row>
    <row r="9" customFormat="false" ht="15" hidden="false" customHeight="true" outlineLevel="0" collapsed="false">
      <c r="A9" s="9" t="s">
        <v>11</v>
      </c>
    </row>
    <row r="10" customFormat="false" ht="15" hidden="false" customHeight="true" outlineLevel="0" collapsed="false">
      <c r="A10" s="10" t="s">
        <v>12</v>
      </c>
      <c r="B10" s="11" t="s">
        <v>13</v>
      </c>
    </row>
    <row r="11" customFormat="false" ht="15" hidden="false" customHeight="true" outlineLevel="0" collapsed="false">
      <c r="A11" s="10" t="s">
        <v>14</v>
      </c>
      <c r="B11" s="11" t="s">
        <v>15</v>
      </c>
    </row>
    <row r="12" customFormat="false" ht="15" hidden="false" customHeight="true" outlineLevel="0" collapsed="false">
      <c r="A12" s="10" t="s">
        <v>16</v>
      </c>
      <c r="B12" s="11" t="s">
        <v>17</v>
      </c>
    </row>
    <row r="14" customFormat="false" ht="19.5" hidden="false" customHeight="true" outlineLevel="0" collapsed="false">
      <c r="A14" s="12" t="s">
        <v>18</v>
      </c>
      <c r="B14" s="12"/>
      <c r="C14" s="13" t="n">
        <v>7</v>
      </c>
    </row>
    <row r="16" customFormat="false" ht="15" hidden="false" customHeight="true" outlineLevel="0" collapsed="false">
      <c r="A16" s="14" t="s">
        <v>19</v>
      </c>
      <c r="B16" s="14"/>
      <c r="C16" s="14"/>
      <c r="D16" s="14"/>
    </row>
    <row r="17" customFormat="false" ht="15" hidden="false" customHeight="true" outlineLevel="0" collapsed="false">
      <c r="A17" s="15" t="s">
        <v>20</v>
      </c>
      <c r="B17" s="16" t="s">
        <v>21</v>
      </c>
      <c r="C17" s="17" t="s">
        <v>22</v>
      </c>
      <c r="D17" s="18" t="s">
        <v>23</v>
      </c>
    </row>
    <row r="19" customFormat="false" ht="15" hidden="false" customHeight="true" outlineLevel="0" collapsed="false">
      <c r="A19" s="19" t="s">
        <v>24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8" hidden="false" customHeight="true" outlineLevel="0" collapsed="false">
      <c r="A20" s="20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8" hidden="false" customHeight="true" outlineLevel="0" collapsed="false">
      <c r="A21" s="20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customFormat="false" ht="18" hidden="false" customHeight="true" outlineLevel="0" collapsed="false">
      <c r="A22" s="20" t="s">
        <v>27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customFormat="false" ht="18" hidden="false" customHeight="true" outlineLevel="0" collapsed="false">
      <c r="A23" s="20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customFormat="false" ht="18" hidden="false" customHeight="true" outlineLevel="0" collapsed="false">
      <c r="A24" s="20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customFormat="false" ht="18" hidden="false" customHeight="true" outlineLevel="0" collapsed="false">
      <c r="A25" s="20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</sheetData>
  <mergeCells count="12">
    <mergeCell ref="A1:N1"/>
    <mergeCell ref="A3:B3"/>
    <mergeCell ref="A4:N4"/>
    <mergeCell ref="A14:B14"/>
    <mergeCell ref="A16:D16"/>
    <mergeCell ref="A19:M19"/>
    <mergeCell ref="A20:M20"/>
    <mergeCell ref="A21:M21"/>
    <mergeCell ref="A22:M22"/>
    <mergeCell ref="A23:M23"/>
    <mergeCell ref="A24:M24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"/>
    <col collapsed="false" customWidth="true" hidden="false" outlineLevel="0" max="4" min="3" style="1" width="18"/>
    <col collapsed="false" customWidth="true" hidden="false" outlineLevel="0" max="5" min="5" style="1" width="2"/>
    <col collapsed="false" customWidth="true" hidden="false" outlineLevel="0" max="6" min="6" style="1" width="18"/>
    <col collapsed="false" customWidth="true" hidden="false" outlineLevel="0" max="7" min="7" style="1" width="2"/>
    <col collapsed="false" customWidth="true" hidden="false" outlineLevel="0" max="8" min="8" style="1" width="20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2"/>
    <col collapsed="false" customWidth="true" hidden="false" outlineLevel="0" max="15" min="15" style="1" width="20"/>
    <col collapsed="false" customWidth="true" hidden="false" outlineLevel="0" max="16" min="16" style="1" width="16"/>
    <col collapsed="false" customWidth="true" hidden="false" outlineLevel="0" max="18" min="17" style="1" width="18"/>
    <col collapsed="false" customWidth="true" hidden="false" outlineLevel="0" max="19" min="19" style="1" width="2"/>
    <col collapsed="false" customWidth="true" hidden="false" outlineLevel="0" max="21" min="20" style="1" width="18"/>
    <col collapsed="false" customWidth="true" hidden="false" outlineLevel="0" max="22" min="22" style="1" width="10"/>
    <col collapsed="false" customWidth="true" hidden="false" outlineLevel="0" max="23" min="23" style="1" width="8"/>
    <col collapsed="false" customWidth="true" hidden="false" outlineLevel="0" max="24" min="24" style="1" width="2"/>
    <col collapsed="false" customWidth="true" hidden="false" outlineLevel="0" max="25" min="25" style="1" width="20"/>
  </cols>
  <sheetData>
    <row r="1" customFormat="false" ht="31.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21" t="s">
        <v>32</v>
      </c>
      <c r="C2" s="12" t="s">
        <v>33</v>
      </c>
      <c r="D2" s="12" t="s">
        <v>34</v>
      </c>
      <c r="F2" s="9" t="s">
        <v>35</v>
      </c>
      <c r="H2" s="22" t="s">
        <v>36</v>
      </c>
      <c r="I2" s="22" t="s">
        <v>34</v>
      </c>
      <c r="J2" s="22" t="s">
        <v>33</v>
      </c>
      <c r="K2" s="22" t="s">
        <v>37</v>
      </c>
      <c r="L2" s="22" t="s">
        <v>38</v>
      </c>
      <c r="M2" s="22" t="s">
        <v>39</v>
      </c>
      <c r="O2" s="23" t="s">
        <v>40</v>
      </c>
      <c r="P2" s="23" t="s">
        <v>34</v>
      </c>
      <c r="Q2" s="23" t="s">
        <v>41</v>
      </c>
      <c r="R2" s="23" t="s">
        <v>39</v>
      </c>
      <c r="T2" s="12" t="s">
        <v>34</v>
      </c>
      <c r="U2" s="12" t="s">
        <v>37</v>
      </c>
      <c r="V2" s="12" t="s">
        <v>42</v>
      </c>
      <c r="W2" s="12" t="s">
        <v>43</v>
      </c>
      <c r="Y2" s="24" t="s">
        <v>44</v>
      </c>
    </row>
    <row r="3" customFormat="false" ht="15" hidden="false" customHeight="true" outlineLevel="0" collapsed="false">
      <c r="A3" s="25"/>
      <c r="C3" s="25"/>
      <c r="D3" s="25"/>
      <c r="F3" s="25"/>
      <c r="H3" s="25"/>
      <c r="I3" s="25"/>
      <c r="J3" s="25"/>
      <c r="K3" s="25"/>
      <c r="L3" s="25"/>
      <c r="M3" s="25"/>
      <c r="O3" s="25"/>
      <c r="P3" s="25"/>
      <c r="Q3" s="25"/>
      <c r="R3" s="25"/>
      <c r="T3" s="25"/>
      <c r="U3" s="25"/>
      <c r="V3" s="25"/>
      <c r="W3" s="26" t="n">
        <v>0</v>
      </c>
      <c r="Y3" s="27" t="str">
        <f aca="false">IFERROR(IF(INDEX(T_Employees[שם],1)="","",INDEX(T_Employees[שם],1)),"")</f>
        <v/>
      </c>
    </row>
    <row r="4" customFormat="false" ht="15" hidden="false" customHeight="true" outlineLevel="0" collapsed="false">
      <c r="A4" s="25"/>
      <c r="C4" s="25"/>
      <c r="D4" s="25"/>
      <c r="F4" s="25"/>
      <c r="H4" s="25"/>
      <c r="I4" s="25"/>
      <c r="J4" s="25"/>
      <c r="K4" s="25"/>
      <c r="L4" s="25"/>
      <c r="M4" s="25"/>
      <c r="O4" s="25"/>
      <c r="P4" s="25"/>
      <c r="Q4" s="25"/>
      <c r="R4" s="25"/>
      <c r="T4" s="25"/>
      <c r="U4" s="25"/>
      <c r="V4" s="25"/>
      <c r="W4" s="26" t="n">
        <v>0</v>
      </c>
      <c r="Y4" s="27" t="str">
        <f aca="false">IFERROR(IF(INDEX(T_Employees[שם],2)="","",INDEX(T_Employees[שם],2)),"")</f>
        <v/>
      </c>
    </row>
    <row r="5" customFormat="false" ht="15" hidden="false" customHeight="true" outlineLevel="0" collapsed="false">
      <c r="A5" s="25"/>
      <c r="C5" s="25"/>
      <c r="D5" s="25"/>
      <c r="F5" s="25"/>
      <c r="H5" s="25"/>
      <c r="I5" s="25"/>
      <c r="J5" s="25"/>
      <c r="K5" s="25"/>
      <c r="L5" s="25"/>
      <c r="M5" s="25"/>
      <c r="O5" s="25"/>
      <c r="P5" s="25"/>
      <c r="Q5" s="25"/>
      <c r="R5" s="25"/>
      <c r="T5" s="25"/>
      <c r="U5" s="25"/>
      <c r="V5" s="25"/>
      <c r="W5" s="26" t="n">
        <v>0</v>
      </c>
      <c r="Y5" s="27" t="str">
        <f aca="false">IFERROR(IF(INDEX(T_Employees[שם],3)="","",INDEX(T_Employees[שם],3)),"")</f>
        <v/>
      </c>
    </row>
    <row r="6" customFormat="false" ht="15" hidden="false" customHeight="true" outlineLevel="0" collapsed="false">
      <c r="A6" s="25"/>
      <c r="C6" s="25"/>
      <c r="D6" s="25"/>
      <c r="F6" s="25"/>
      <c r="H6" s="25"/>
      <c r="I6" s="25"/>
      <c r="J6" s="25"/>
      <c r="K6" s="25"/>
      <c r="L6" s="25"/>
      <c r="M6" s="25"/>
      <c r="O6" s="25"/>
      <c r="P6" s="25"/>
      <c r="Q6" s="25"/>
      <c r="R6" s="25"/>
      <c r="T6" s="25"/>
      <c r="U6" s="25"/>
      <c r="V6" s="25"/>
      <c r="W6" s="26" t="n">
        <v>0</v>
      </c>
      <c r="Y6" s="27" t="str">
        <f aca="false">IFERROR(IF(INDEX(T_Employees[שם],4)="","",INDEX(T_Employees[שם],4)),"")</f>
        <v/>
      </c>
    </row>
    <row r="7" customFormat="false" ht="15" hidden="false" customHeight="true" outlineLevel="0" collapsed="false">
      <c r="A7" s="25"/>
      <c r="C7" s="25"/>
      <c r="D7" s="25"/>
      <c r="F7" s="25"/>
      <c r="H7" s="25"/>
      <c r="I7" s="25"/>
      <c r="J7" s="25"/>
      <c r="K7" s="25"/>
      <c r="L7" s="25"/>
      <c r="M7" s="25"/>
      <c r="O7" s="25"/>
      <c r="P7" s="25"/>
      <c r="Q7" s="25"/>
      <c r="R7" s="25"/>
      <c r="T7" s="25"/>
      <c r="U7" s="25"/>
      <c r="V7" s="25"/>
      <c r="W7" s="26" t="n">
        <v>0</v>
      </c>
      <c r="Y7" s="27" t="str">
        <f aca="false">IFERROR(IF(INDEX(T_Employees[שם],5)="","",INDEX(T_Employees[שם],5)),"")</f>
        <v/>
      </c>
    </row>
    <row r="8" customFormat="false" ht="15" hidden="false" customHeight="true" outlineLevel="0" collapsed="false">
      <c r="A8" s="25"/>
      <c r="C8" s="25"/>
      <c r="D8" s="25"/>
      <c r="F8" s="25"/>
      <c r="H8" s="25"/>
      <c r="I8" s="25"/>
      <c r="J8" s="25"/>
      <c r="K8" s="25"/>
      <c r="L8" s="25"/>
      <c r="M8" s="25"/>
      <c r="O8" s="25"/>
      <c r="P8" s="25"/>
      <c r="Q8" s="25"/>
      <c r="R8" s="25"/>
      <c r="T8" s="25"/>
      <c r="U8" s="25"/>
      <c r="V8" s="25"/>
      <c r="W8" s="26" t="n">
        <v>0</v>
      </c>
      <c r="Y8" s="27" t="str">
        <f aca="false">IFERROR(IF(INDEX(T_Employees[שם],6)="","",INDEX(T_Employees[שם],6)),"")</f>
        <v/>
      </c>
    </row>
    <row r="9" customFormat="false" ht="15" hidden="false" customHeight="true" outlineLevel="0" collapsed="false">
      <c r="A9" s="25"/>
      <c r="C9" s="25"/>
      <c r="D9" s="25"/>
      <c r="F9" s="25"/>
      <c r="H9" s="25"/>
      <c r="I9" s="25"/>
      <c r="J9" s="25"/>
      <c r="K9" s="25"/>
      <c r="L9" s="25"/>
      <c r="M9" s="25"/>
      <c r="O9" s="25"/>
      <c r="P9" s="25"/>
      <c r="Q9" s="25"/>
      <c r="R9" s="25"/>
      <c r="T9" s="25"/>
      <c r="U9" s="25"/>
      <c r="V9" s="25"/>
      <c r="W9" s="26" t="n">
        <v>0</v>
      </c>
      <c r="Y9" s="27" t="str">
        <f aca="false">IFERROR(IF(INDEX(T_Employees[שם],7)="","",INDEX(T_Employees[שם],7)),"")</f>
        <v/>
      </c>
    </row>
    <row r="10" customFormat="false" ht="15" hidden="false" customHeight="true" outlineLevel="0" collapsed="false">
      <c r="A10" s="25"/>
      <c r="C10" s="25"/>
      <c r="D10" s="25"/>
      <c r="F10" s="25"/>
      <c r="H10" s="25"/>
      <c r="I10" s="25"/>
      <c r="J10" s="25"/>
      <c r="K10" s="25"/>
      <c r="L10" s="25"/>
      <c r="M10" s="25"/>
      <c r="O10" s="25"/>
      <c r="P10" s="25"/>
      <c r="Q10" s="25"/>
      <c r="R10" s="25"/>
      <c r="T10" s="25"/>
      <c r="U10" s="25"/>
      <c r="V10" s="25"/>
      <c r="W10" s="26" t="n">
        <v>0</v>
      </c>
      <c r="Y10" s="27" t="str">
        <f aca="false">IFERROR(IF(INDEX(T_Employees[שם],8)="","",INDEX(T_Employees[שם],8)),"")</f>
        <v/>
      </c>
    </row>
    <row r="11" customFormat="false" ht="15" hidden="false" customHeight="true" outlineLevel="0" collapsed="false">
      <c r="A11" s="25"/>
      <c r="C11" s="25"/>
      <c r="D11" s="25"/>
      <c r="F11" s="25"/>
      <c r="H11" s="25"/>
      <c r="I11" s="25"/>
      <c r="J11" s="25"/>
      <c r="K11" s="25"/>
      <c r="L11" s="25"/>
      <c r="M11" s="25"/>
      <c r="O11" s="25"/>
      <c r="P11" s="25"/>
      <c r="Q11" s="25"/>
      <c r="R11" s="25"/>
      <c r="T11" s="25"/>
      <c r="U11" s="25"/>
      <c r="V11" s="25"/>
      <c r="W11" s="26" t="n">
        <v>0</v>
      </c>
      <c r="Y11" s="27" t="str">
        <f aca="false">IFERROR(IF(INDEX(T_Employees[שם],9)="","",INDEX(T_Employees[שם],9)),"")</f>
        <v/>
      </c>
    </row>
    <row r="12" customFormat="false" ht="15" hidden="false" customHeight="true" outlineLevel="0" collapsed="false">
      <c r="A12" s="25"/>
      <c r="C12" s="25"/>
      <c r="D12" s="25"/>
      <c r="F12" s="25"/>
      <c r="H12" s="25"/>
      <c r="I12" s="25"/>
      <c r="J12" s="25"/>
      <c r="K12" s="25"/>
      <c r="L12" s="25"/>
      <c r="M12" s="25"/>
      <c r="O12" s="25"/>
      <c r="P12" s="25"/>
      <c r="Q12" s="25"/>
      <c r="R12" s="25"/>
      <c r="T12" s="25"/>
      <c r="U12" s="25"/>
      <c r="V12" s="25"/>
      <c r="W12" s="26" t="n">
        <v>0</v>
      </c>
      <c r="Y12" s="27" t="str">
        <f aca="false">IFERROR(IF(INDEX(T_Employees[שם],10)="","",INDEX(T_Employees[שם],10)),"")</f>
        <v/>
      </c>
    </row>
    <row r="13" customFormat="false" ht="15" hidden="false" customHeight="true" outlineLevel="0" collapsed="false">
      <c r="A13" s="25"/>
      <c r="C13" s="25"/>
      <c r="D13" s="25"/>
      <c r="F13" s="25"/>
      <c r="H13" s="25"/>
      <c r="I13" s="25"/>
      <c r="J13" s="25"/>
      <c r="K13" s="25"/>
      <c r="L13" s="25"/>
      <c r="M13" s="25"/>
      <c r="O13" s="25"/>
      <c r="P13" s="25"/>
      <c r="Q13" s="25"/>
      <c r="R13" s="25"/>
      <c r="T13" s="25"/>
      <c r="U13" s="25"/>
      <c r="V13" s="25"/>
      <c r="W13" s="26" t="n">
        <v>0</v>
      </c>
      <c r="Y13" s="27" t="str">
        <f aca="false">IFERROR(IF(INDEX(T_Employees[שם],11)="","",INDEX(T_Employees[שם],11)),"")</f>
        <v/>
      </c>
    </row>
    <row r="14" customFormat="false" ht="15" hidden="false" customHeight="true" outlineLevel="0" collapsed="false">
      <c r="A14" s="25"/>
      <c r="C14" s="25"/>
      <c r="D14" s="25"/>
      <c r="F14" s="25"/>
      <c r="H14" s="25"/>
      <c r="I14" s="25"/>
      <c r="J14" s="25"/>
      <c r="K14" s="25"/>
      <c r="L14" s="25"/>
      <c r="M14" s="25"/>
      <c r="O14" s="25"/>
      <c r="P14" s="25"/>
      <c r="Q14" s="25"/>
      <c r="R14" s="25"/>
      <c r="T14" s="25"/>
      <c r="U14" s="25"/>
      <c r="V14" s="25"/>
      <c r="W14" s="26" t="n">
        <v>0</v>
      </c>
      <c r="Y14" s="27" t="str">
        <f aca="false">IFERROR(IF(INDEX(T_Employees[שם],12)="","",INDEX(T_Employees[שם],12)),"")</f>
        <v/>
      </c>
    </row>
    <row r="15" customFormat="false" ht="15" hidden="false" customHeight="true" outlineLevel="0" collapsed="false">
      <c r="A15" s="25"/>
      <c r="C15" s="25"/>
      <c r="D15" s="25"/>
      <c r="F15" s="25"/>
      <c r="H15" s="25"/>
      <c r="I15" s="25"/>
      <c r="J15" s="25"/>
      <c r="K15" s="25"/>
      <c r="L15" s="25"/>
      <c r="M15" s="25"/>
      <c r="O15" s="25"/>
      <c r="P15" s="25"/>
      <c r="Q15" s="25"/>
      <c r="R15" s="25"/>
      <c r="T15" s="25"/>
      <c r="U15" s="25"/>
      <c r="V15" s="25"/>
      <c r="W15" s="26" t="n">
        <v>0</v>
      </c>
      <c r="Y15" s="27" t="str">
        <f aca="false">IFERROR(IF(INDEX(T_Employees[שם],13)="","",INDEX(T_Employees[שם],13)),"")</f>
        <v/>
      </c>
    </row>
    <row r="16" customFormat="false" ht="15" hidden="false" customHeight="true" outlineLevel="0" collapsed="false">
      <c r="A16" s="25"/>
      <c r="C16" s="25"/>
      <c r="D16" s="25"/>
      <c r="F16" s="25"/>
      <c r="H16" s="25"/>
      <c r="I16" s="25"/>
      <c r="J16" s="25"/>
      <c r="K16" s="25"/>
      <c r="L16" s="25"/>
      <c r="M16" s="25"/>
      <c r="O16" s="25"/>
      <c r="P16" s="25"/>
      <c r="Q16" s="25"/>
      <c r="R16" s="25"/>
      <c r="T16" s="25"/>
      <c r="U16" s="25"/>
      <c r="V16" s="25"/>
      <c r="W16" s="26" t="n">
        <v>0</v>
      </c>
      <c r="Y16" s="27" t="str">
        <f aca="false">IFERROR(IF(INDEX(T_Employees[שם],14)="","",INDEX(T_Employees[שם],14)),"")</f>
        <v/>
      </c>
    </row>
    <row r="17" customFormat="false" ht="15" hidden="false" customHeight="true" outlineLevel="0" collapsed="false">
      <c r="A17" s="25"/>
      <c r="C17" s="25"/>
      <c r="D17" s="25"/>
      <c r="F17" s="25"/>
      <c r="H17" s="25"/>
      <c r="I17" s="25"/>
      <c r="J17" s="25"/>
      <c r="K17" s="25"/>
      <c r="L17" s="25"/>
      <c r="M17" s="25"/>
      <c r="O17" s="25"/>
      <c r="P17" s="25"/>
      <c r="Q17" s="25"/>
      <c r="R17" s="25"/>
      <c r="T17" s="25"/>
      <c r="U17" s="25"/>
      <c r="V17" s="25"/>
      <c r="W17" s="26" t="n">
        <v>0</v>
      </c>
      <c r="Y17" s="27" t="str">
        <f aca="false">IFERROR(IF(INDEX(T_Employees[שם],15)="","",INDEX(T_Employees[שם],15)),"")</f>
        <v/>
      </c>
    </row>
    <row r="18" customFormat="false" ht="15" hidden="false" customHeight="true" outlineLevel="0" collapsed="false">
      <c r="H18" s="25"/>
      <c r="I18" s="25"/>
      <c r="J18" s="25"/>
      <c r="K18" s="25"/>
      <c r="L18" s="25"/>
      <c r="M18" s="25"/>
      <c r="O18" s="25"/>
      <c r="P18" s="25"/>
      <c r="Q18" s="25"/>
      <c r="R18" s="25"/>
      <c r="T18" s="25"/>
      <c r="U18" s="25"/>
      <c r="V18" s="25"/>
      <c r="W18" s="26" t="n">
        <v>0</v>
      </c>
      <c r="Y18" s="27" t="str">
        <f aca="false">IFERROR(IF(INDEX(T_Employees[שם],16)="","",INDEX(T_Employees[שם],16)),"")</f>
        <v/>
      </c>
    </row>
    <row r="19" customFormat="false" ht="15" hidden="false" customHeight="true" outlineLevel="0" collapsed="false">
      <c r="H19" s="25"/>
      <c r="I19" s="25"/>
      <c r="J19" s="25"/>
      <c r="K19" s="25"/>
      <c r="L19" s="25"/>
      <c r="M19" s="25"/>
      <c r="O19" s="25"/>
      <c r="P19" s="25"/>
      <c r="Q19" s="25"/>
      <c r="R19" s="25"/>
      <c r="T19" s="25"/>
      <c r="U19" s="25"/>
      <c r="V19" s="25"/>
      <c r="W19" s="26" t="n">
        <v>0</v>
      </c>
      <c r="Y19" s="27" t="str">
        <f aca="false">IFERROR(IF(INDEX(T_Employees[שם],17)="","",INDEX(T_Employees[שם],17)),"")</f>
        <v/>
      </c>
    </row>
    <row r="20" customFormat="false" ht="15" hidden="false" customHeight="true" outlineLevel="0" collapsed="false">
      <c r="H20" s="25"/>
      <c r="I20" s="25"/>
      <c r="J20" s="25"/>
      <c r="K20" s="25"/>
      <c r="L20" s="25"/>
      <c r="M20" s="25"/>
      <c r="O20" s="25"/>
      <c r="P20" s="25"/>
      <c r="Q20" s="25"/>
      <c r="R20" s="25"/>
      <c r="T20" s="25"/>
      <c r="U20" s="25"/>
      <c r="V20" s="25"/>
      <c r="W20" s="26" t="n">
        <v>0</v>
      </c>
      <c r="Y20" s="27" t="str">
        <f aca="false">IFERROR(IF(INDEX(T_Employees[שם],18)="","",INDEX(T_Employees[שם],18)),"")</f>
        <v/>
      </c>
    </row>
    <row r="21" customFormat="false" ht="15" hidden="false" customHeight="true" outlineLevel="0" collapsed="false">
      <c r="H21" s="25"/>
      <c r="I21" s="25"/>
      <c r="J21" s="25"/>
      <c r="K21" s="25"/>
      <c r="L21" s="25"/>
      <c r="M21" s="25"/>
      <c r="O21" s="25"/>
      <c r="P21" s="25"/>
      <c r="Q21" s="25"/>
      <c r="R21" s="25"/>
      <c r="T21" s="25"/>
      <c r="U21" s="25"/>
      <c r="V21" s="25"/>
      <c r="W21" s="26" t="n">
        <v>0</v>
      </c>
      <c r="Y21" s="27" t="str">
        <f aca="false">IFERROR(IF(INDEX(T_Employees[שם],19)="","",INDEX(T_Employees[שם],19)),"")</f>
        <v/>
      </c>
    </row>
    <row r="22" customFormat="false" ht="15" hidden="false" customHeight="true" outlineLevel="0" collapsed="false">
      <c r="H22" s="25"/>
      <c r="I22" s="25"/>
      <c r="J22" s="25"/>
      <c r="K22" s="25"/>
      <c r="L22" s="25"/>
      <c r="M22" s="25"/>
      <c r="O22" s="25"/>
      <c r="P22" s="25"/>
      <c r="Q22" s="25"/>
      <c r="R22" s="25"/>
      <c r="T22" s="25"/>
      <c r="U22" s="25"/>
      <c r="V22" s="25"/>
      <c r="W22" s="26" t="n">
        <v>0</v>
      </c>
      <c r="Y22" s="27" t="str">
        <f aca="false">IFERROR(IF(INDEX(T_Employees[שם],20)="","",INDEX(T_Employees[שם],20)),"")</f>
        <v/>
      </c>
    </row>
    <row r="23" customFormat="false" ht="15" hidden="false" customHeight="true" outlineLevel="0" collapsed="false">
      <c r="H23" s="25"/>
      <c r="I23" s="25"/>
      <c r="J23" s="25"/>
      <c r="K23" s="25"/>
      <c r="L23" s="25"/>
      <c r="M23" s="25"/>
      <c r="O23" s="25"/>
      <c r="P23" s="25"/>
      <c r="Q23" s="25"/>
      <c r="R23" s="25"/>
      <c r="T23" s="25"/>
      <c r="U23" s="25"/>
      <c r="V23" s="25"/>
      <c r="W23" s="26" t="n">
        <v>0</v>
      </c>
      <c r="Y23" s="27" t="str">
        <f aca="false">IFERROR(IF(INDEX(T_Employees[שם],21)="","",INDEX(T_Employees[שם],21)),"")</f>
        <v/>
      </c>
    </row>
    <row r="24" customFormat="false" ht="15" hidden="false" customHeight="true" outlineLevel="0" collapsed="false">
      <c r="H24" s="25"/>
      <c r="I24" s="25"/>
      <c r="J24" s="25"/>
      <c r="K24" s="25"/>
      <c r="L24" s="25"/>
      <c r="M24" s="25"/>
      <c r="O24" s="25"/>
      <c r="P24" s="25"/>
      <c r="Q24" s="25"/>
      <c r="R24" s="25"/>
      <c r="T24" s="25"/>
      <c r="U24" s="25"/>
      <c r="V24" s="25"/>
      <c r="W24" s="26" t="n">
        <v>0</v>
      </c>
      <c r="Y24" s="27" t="str">
        <f aca="false">IFERROR(IF(INDEX(T_Employees[שם],22)="","",INDEX(T_Employees[שם],22)),"")</f>
        <v/>
      </c>
    </row>
    <row r="25" customFormat="false" ht="15" hidden="false" customHeight="true" outlineLevel="0" collapsed="false">
      <c r="H25" s="25"/>
      <c r="I25" s="25"/>
      <c r="J25" s="25"/>
      <c r="K25" s="25"/>
      <c r="L25" s="25"/>
      <c r="M25" s="25"/>
      <c r="O25" s="25"/>
      <c r="P25" s="25"/>
      <c r="Q25" s="25"/>
      <c r="R25" s="25"/>
      <c r="T25" s="25"/>
      <c r="U25" s="25"/>
      <c r="V25" s="25"/>
      <c r="W25" s="26" t="n">
        <v>0</v>
      </c>
      <c r="Y25" s="27" t="str">
        <f aca="false">IFERROR(IF(INDEX(T_Employees[שם],23)="","",INDEX(T_Employees[שם],23)),"")</f>
        <v/>
      </c>
    </row>
    <row r="26" customFormat="false" ht="15" hidden="false" customHeight="true" outlineLevel="0" collapsed="false">
      <c r="H26" s="25"/>
      <c r="I26" s="25"/>
      <c r="J26" s="25"/>
      <c r="K26" s="25"/>
      <c r="L26" s="25"/>
      <c r="M26" s="25"/>
      <c r="O26" s="25"/>
      <c r="P26" s="25"/>
      <c r="Q26" s="25"/>
      <c r="R26" s="25"/>
      <c r="T26" s="25"/>
      <c r="U26" s="25"/>
      <c r="V26" s="25"/>
      <c r="W26" s="26" t="n">
        <v>0</v>
      </c>
      <c r="Y26" s="27" t="str">
        <f aca="false">IFERROR(IF(INDEX(T_Employees[שם],24)="","",INDEX(T_Employees[שם],24)),"")</f>
        <v/>
      </c>
    </row>
    <row r="27" customFormat="false" ht="15" hidden="false" customHeight="true" outlineLevel="0" collapsed="false">
      <c r="H27" s="25"/>
      <c r="I27" s="25"/>
      <c r="J27" s="25"/>
      <c r="K27" s="25"/>
      <c r="L27" s="25"/>
      <c r="M27" s="25"/>
      <c r="O27" s="25"/>
      <c r="P27" s="25"/>
      <c r="Q27" s="25"/>
      <c r="R27" s="25"/>
      <c r="T27" s="25"/>
      <c r="U27" s="25"/>
      <c r="V27" s="25"/>
      <c r="W27" s="26" t="n">
        <v>0</v>
      </c>
      <c r="Y27" s="27" t="str">
        <f aca="false">IFERROR(IF(INDEX(T_Employees[שם],25)="","",INDEX(T_Employees[שם],25)),"")</f>
        <v/>
      </c>
    </row>
    <row r="28" customFormat="false" ht="15" hidden="false" customHeight="true" outlineLevel="0" collapsed="false">
      <c r="H28" s="25"/>
      <c r="I28" s="25"/>
      <c r="J28" s="25"/>
      <c r="K28" s="25"/>
      <c r="L28" s="25"/>
      <c r="M28" s="25"/>
      <c r="O28" s="25"/>
      <c r="P28" s="25"/>
      <c r="Q28" s="25"/>
      <c r="R28" s="25"/>
      <c r="T28" s="25"/>
      <c r="U28" s="25"/>
      <c r="V28" s="25"/>
      <c r="W28" s="26" t="n">
        <v>0</v>
      </c>
      <c r="Y28" s="27" t="str">
        <f aca="false">IFERROR(IF(INDEX(T_Employees[שם],26)="","",INDEX(T_Employees[שם],26)),"")</f>
        <v/>
      </c>
    </row>
    <row r="29" customFormat="false" ht="15" hidden="false" customHeight="true" outlineLevel="0" collapsed="false">
      <c r="H29" s="25"/>
      <c r="I29" s="25"/>
      <c r="J29" s="25"/>
      <c r="K29" s="25"/>
      <c r="L29" s="25"/>
      <c r="M29" s="25"/>
      <c r="O29" s="25"/>
      <c r="P29" s="25"/>
      <c r="Q29" s="25"/>
      <c r="R29" s="25"/>
      <c r="T29" s="25"/>
      <c r="U29" s="25"/>
      <c r="V29" s="25"/>
      <c r="W29" s="26" t="n">
        <v>0</v>
      </c>
      <c r="Y29" s="27" t="str">
        <f aca="false">IFERROR(IF(INDEX(T_Employees[שם],27)="","",INDEX(T_Employees[שם],27)),"")</f>
        <v/>
      </c>
    </row>
    <row r="30" customFormat="false" ht="15" hidden="false" customHeight="true" outlineLevel="0" collapsed="false">
      <c r="H30" s="25"/>
      <c r="I30" s="25"/>
      <c r="J30" s="25"/>
      <c r="K30" s="25"/>
      <c r="L30" s="25"/>
      <c r="M30" s="25"/>
      <c r="O30" s="25"/>
      <c r="P30" s="25"/>
      <c r="Q30" s="25"/>
      <c r="R30" s="25"/>
      <c r="T30" s="25"/>
      <c r="U30" s="25"/>
      <c r="V30" s="25"/>
      <c r="W30" s="26" t="n">
        <v>0</v>
      </c>
      <c r="Y30" s="27" t="str">
        <f aca="false">IFERROR(IF(INDEX(T_Employees[שם],28)="","",INDEX(T_Employees[שם],28)),"")</f>
        <v/>
      </c>
    </row>
    <row r="31" customFormat="false" ht="15" hidden="false" customHeight="true" outlineLevel="0" collapsed="false">
      <c r="H31" s="25"/>
      <c r="I31" s="25"/>
      <c r="J31" s="25"/>
      <c r="K31" s="25"/>
      <c r="L31" s="25"/>
      <c r="M31" s="25"/>
      <c r="O31" s="25"/>
      <c r="P31" s="25"/>
      <c r="Q31" s="25"/>
      <c r="R31" s="25"/>
      <c r="T31" s="25"/>
      <c r="U31" s="25"/>
      <c r="V31" s="25"/>
      <c r="W31" s="26" t="n">
        <v>0</v>
      </c>
      <c r="Y31" s="27" t="str">
        <f aca="false">IFERROR(IF(INDEX(T_Employees[שם],29)="","",INDEX(T_Employees[שם],29)),"")</f>
        <v/>
      </c>
    </row>
    <row r="32" customFormat="false" ht="15" hidden="false" customHeight="true" outlineLevel="0" collapsed="false">
      <c r="H32" s="25"/>
      <c r="I32" s="25"/>
      <c r="J32" s="25"/>
      <c r="K32" s="25"/>
      <c r="L32" s="25"/>
      <c r="M32" s="25"/>
      <c r="O32" s="25"/>
      <c r="P32" s="25"/>
      <c r="Q32" s="25"/>
      <c r="R32" s="25"/>
      <c r="T32" s="25"/>
      <c r="U32" s="25"/>
      <c r="V32" s="25"/>
      <c r="W32" s="26" t="n">
        <v>0</v>
      </c>
      <c r="Y32" s="27" t="str">
        <f aca="false">IFERROR(IF(INDEX(T_Employees[שם],30)="","",INDEX(T_Employees[שם],30)),"")</f>
        <v/>
      </c>
    </row>
    <row r="33" customFormat="false" ht="15" hidden="false" customHeight="true" outlineLevel="0" collapsed="false">
      <c r="H33" s="25"/>
      <c r="I33" s="25"/>
      <c r="J33" s="25"/>
      <c r="K33" s="25"/>
      <c r="L33" s="25"/>
      <c r="M33" s="25"/>
      <c r="O33" s="25"/>
      <c r="P33" s="25"/>
      <c r="Q33" s="25"/>
      <c r="R33" s="25"/>
      <c r="T33" s="25"/>
      <c r="U33" s="25"/>
      <c r="V33" s="25"/>
      <c r="W33" s="26" t="n">
        <v>0</v>
      </c>
      <c r="Y33" s="27" t="str">
        <f aca="false">IFERROR(IF(INDEX(T_Employees[שם],31)="","",INDEX(T_Employees[שם],31)),"")</f>
        <v/>
      </c>
    </row>
    <row r="34" customFormat="false" ht="15" hidden="false" customHeight="true" outlineLevel="0" collapsed="false">
      <c r="H34" s="25"/>
      <c r="I34" s="25"/>
      <c r="J34" s="25"/>
      <c r="K34" s="25"/>
      <c r="L34" s="25"/>
      <c r="M34" s="25"/>
      <c r="O34" s="25"/>
      <c r="P34" s="25"/>
      <c r="Q34" s="25"/>
      <c r="R34" s="25"/>
      <c r="T34" s="25"/>
      <c r="U34" s="25"/>
      <c r="V34" s="25"/>
      <c r="W34" s="26" t="n">
        <v>0</v>
      </c>
      <c r="Y34" s="27" t="str">
        <f aca="false">IFERROR(IF(INDEX(T_Employees[שם],32)="","",INDEX(T_Employees[שם],32)),"")</f>
        <v/>
      </c>
    </row>
    <row r="35" customFormat="false" ht="15" hidden="false" customHeight="true" outlineLevel="0" collapsed="false">
      <c r="H35" s="25"/>
      <c r="I35" s="25"/>
      <c r="J35" s="25"/>
      <c r="K35" s="25"/>
      <c r="L35" s="25"/>
      <c r="M35" s="25"/>
      <c r="O35" s="25"/>
      <c r="P35" s="25"/>
      <c r="Q35" s="25"/>
      <c r="R35" s="25"/>
      <c r="T35" s="25"/>
      <c r="U35" s="25"/>
      <c r="V35" s="25"/>
      <c r="W35" s="26" t="n">
        <v>0</v>
      </c>
      <c r="Y35" s="27" t="str">
        <f aca="false">IFERROR(IF(INDEX(T_Employees[שם],33)="","",INDEX(T_Employees[שם],33)),"")</f>
        <v/>
      </c>
    </row>
    <row r="36" customFormat="false" ht="15" hidden="false" customHeight="true" outlineLevel="0" collapsed="false">
      <c r="H36" s="25"/>
      <c r="I36" s="25"/>
      <c r="J36" s="25"/>
      <c r="K36" s="25"/>
      <c r="L36" s="25"/>
      <c r="M36" s="25"/>
      <c r="O36" s="25"/>
      <c r="P36" s="25"/>
      <c r="Q36" s="25"/>
      <c r="R36" s="25"/>
      <c r="T36" s="25"/>
      <c r="U36" s="25"/>
      <c r="V36" s="25"/>
      <c r="W36" s="26" t="n">
        <v>0</v>
      </c>
      <c r="Y36" s="27" t="str">
        <f aca="false">IFERROR(IF(INDEX(T_Employees[שם],34)="","",INDEX(T_Employees[שם],34)),"")</f>
        <v/>
      </c>
    </row>
    <row r="37" customFormat="false" ht="15" hidden="false" customHeight="true" outlineLevel="0" collapsed="false">
      <c r="H37" s="25"/>
      <c r="I37" s="25"/>
      <c r="J37" s="25"/>
      <c r="K37" s="25"/>
      <c r="L37" s="25"/>
      <c r="M37" s="25"/>
      <c r="O37" s="25"/>
      <c r="P37" s="25"/>
      <c r="Q37" s="25"/>
      <c r="R37" s="25"/>
      <c r="T37" s="25"/>
      <c r="U37" s="25"/>
      <c r="V37" s="25"/>
      <c r="W37" s="26" t="n">
        <v>0</v>
      </c>
      <c r="Y37" s="27" t="str">
        <f aca="false">IFERROR(IF(INDEX(T_Employees[שם],35)="","",INDEX(T_Employees[שם],35)),"")</f>
        <v/>
      </c>
    </row>
    <row r="38" customFormat="false" ht="15" hidden="false" customHeight="true" outlineLevel="0" collapsed="false">
      <c r="H38" s="25"/>
      <c r="I38" s="25"/>
      <c r="J38" s="25"/>
      <c r="K38" s="25"/>
      <c r="L38" s="25"/>
      <c r="M38" s="25"/>
      <c r="O38" s="25"/>
      <c r="P38" s="25"/>
      <c r="Q38" s="25"/>
      <c r="R38" s="25"/>
      <c r="T38" s="25"/>
      <c r="U38" s="25"/>
      <c r="V38" s="25"/>
      <c r="W38" s="26" t="n">
        <v>0</v>
      </c>
      <c r="Y38" s="27" t="str">
        <f aca="false">IFERROR(IF(INDEX(T_Employees[שם],36)="","",INDEX(T_Employees[שם],36)),"")</f>
        <v/>
      </c>
    </row>
    <row r="39" customFormat="false" ht="15" hidden="false" customHeight="true" outlineLevel="0" collapsed="false">
      <c r="H39" s="25"/>
      <c r="I39" s="25"/>
      <c r="J39" s="25"/>
      <c r="K39" s="25"/>
      <c r="L39" s="25"/>
      <c r="M39" s="25"/>
      <c r="O39" s="25"/>
      <c r="P39" s="25"/>
      <c r="Q39" s="25"/>
      <c r="R39" s="25"/>
      <c r="T39" s="25"/>
      <c r="U39" s="25"/>
      <c r="V39" s="25"/>
      <c r="W39" s="26" t="n">
        <v>0</v>
      </c>
      <c r="Y39" s="27" t="str">
        <f aca="false">IFERROR(IF(INDEX(T_Employees[שם],37)="","",INDEX(T_Employees[שם],37)),"")</f>
        <v/>
      </c>
    </row>
    <row r="40" customFormat="false" ht="15" hidden="false" customHeight="true" outlineLevel="0" collapsed="false">
      <c r="H40" s="25"/>
      <c r="I40" s="25"/>
      <c r="J40" s="25"/>
      <c r="K40" s="25"/>
      <c r="L40" s="25"/>
      <c r="M40" s="25"/>
      <c r="O40" s="25"/>
      <c r="P40" s="25"/>
      <c r="Q40" s="25"/>
      <c r="R40" s="25"/>
      <c r="T40" s="25"/>
      <c r="U40" s="25"/>
      <c r="V40" s="25"/>
      <c r="W40" s="26" t="n">
        <v>0</v>
      </c>
      <c r="Y40" s="27" t="str">
        <f aca="false">IFERROR(IF(INDEX(T_Employees[שם],38)="","",INDEX(T_Employees[שם],38)),"")</f>
        <v/>
      </c>
    </row>
    <row r="41" customFormat="false" ht="15" hidden="false" customHeight="true" outlineLevel="0" collapsed="false">
      <c r="H41" s="25"/>
      <c r="I41" s="25"/>
      <c r="J41" s="25"/>
      <c r="K41" s="25"/>
      <c r="L41" s="25"/>
      <c r="M41" s="25"/>
      <c r="O41" s="25"/>
      <c r="P41" s="25"/>
      <c r="Q41" s="25"/>
      <c r="R41" s="25"/>
      <c r="T41" s="25"/>
      <c r="U41" s="25"/>
      <c r="V41" s="25"/>
      <c r="W41" s="26" t="n">
        <v>0</v>
      </c>
      <c r="Y41" s="27" t="str">
        <f aca="false">IFERROR(IF(INDEX(T_Employees[שם],39)="","",INDEX(T_Employees[שם],39)),"")</f>
        <v/>
      </c>
    </row>
    <row r="42" customFormat="false" ht="15" hidden="false" customHeight="true" outlineLevel="0" collapsed="false">
      <c r="H42" s="25"/>
      <c r="I42" s="25"/>
      <c r="J42" s="25"/>
      <c r="K42" s="25"/>
      <c r="L42" s="25"/>
      <c r="M42" s="25"/>
      <c r="O42" s="25"/>
      <c r="P42" s="25"/>
      <c r="Q42" s="25"/>
      <c r="R42" s="25"/>
      <c r="T42" s="25"/>
      <c r="U42" s="25"/>
      <c r="V42" s="25"/>
      <c r="W42" s="26" t="n">
        <v>0</v>
      </c>
      <c r="Y42" s="27" t="str">
        <f aca="false">IFERROR(IF(INDEX(T_Employees[שם],40)="","",INDEX(T_Employees[שם],40)),"")</f>
        <v/>
      </c>
    </row>
    <row r="43" customFormat="false" ht="15" hidden="false" customHeight="true" outlineLevel="0" collapsed="false">
      <c r="H43" s="25"/>
      <c r="I43" s="25"/>
      <c r="J43" s="25"/>
      <c r="K43" s="25"/>
      <c r="L43" s="25"/>
      <c r="M43" s="25"/>
      <c r="O43" s="25"/>
      <c r="P43" s="25"/>
      <c r="Q43" s="25"/>
      <c r="R43" s="25"/>
      <c r="T43" s="25"/>
      <c r="U43" s="25"/>
      <c r="V43" s="25"/>
      <c r="W43" s="26" t="n">
        <v>0</v>
      </c>
      <c r="Y43" s="27" t="str">
        <f aca="false">IFERROR(IF(INDEX(T_Employees[שם],41)="","",INDEX(T_Employees[שם],41)),"")</f>
        <v/>
      </c>
    </row>
    <row r="44" customFormat="false" ht="15" hidden="false" customHeight="true" outlineLevel="0" collapsed="false">
      <c r="H44" s="25"/>
      <c r="I44" s="25"/>
      <c r="J44" s="25"/>
      <c r="K44" s="25"/>
      <c r="L44" s="25"/>
      <c r="M44" s="25"/>
      <c r="O44" s="25"/>
      <c r="P44" s="25"/>
      <c r="Q44" s="25"/>
      <c r="R44" s="25"/>
      <c r="T44" s="25"/>
      <c r="U44" s="25"/>
      <c r="V44" s="25"/>
      <c r="W44" s="26" t="n">
        <v>0</v>
      </c>
      <c r="Y44" s="27" t="str">
        <f aca="false">IFERROR(IF(INDEX(T_Employees[שם],42)="","",INDEX(T_Employees[שם],42)),"")</f>
        <v/>
      </c>
    </row>
    <row r="45" customFormat="false" ht="15" hidden="false" customHeight="true" outlineLevel="0" collapsed="false">
      <c r="H45" s="25"/>
      <c r="I45" s="25"/>
      <c r="J45" s="25"/>
      <c r="K45" s="25"/>
      <c r="L45" s="25"/>
      <c r="M45" s="25"/>
      <c r="O45" s="25"/>
      <c r="P45" s="25"/>
      <c r="Q45" s="25"/>
      <c r="R45" s="25"/>
      <c r="T45" s="25"/>
      <c r="U45" s="25"/>
      <c r="V45" s="25"/>
      <c r="W45" s="26" t="n">
        <v>0</v>
      </c>
      <c r="Y45" s="27" t="str">
        <f aca="false">IFERROR(IF(INDEX(T_Employees[שם],43)="","",INDEX(T_Employees[שם],43)),"")</f>
        <v/>
      </c>
    </row>
    <row r="46" customFormat="false" ht="15" hidden="false" customHeight="true" outlineLevel="0" collapsed="false">
      <c r="H46" s="25"/>
      <c r="I46" s="25"/>
      <c r="J46" s="25"/>
      <c r="K46" s="25"/>
      <c r="L46" s="25"/>
      <c r="M46" s="25"/>
      <c r="O46" s="25"/>
      <c r="P46" s="25"/>
      <c r="Q46" s="25"/>
      <c r="R46" s="25"/>
      <c r="T46" s="25"/>
      <c r="U46" s="25"/>
      <c r="V46" s="25"/>
      <c r="W46" s="26" t="n">
        <v>0</v>
      </c>
      <c r="Y46" s="27" t="str">
        <f aca="false">IFERROR(IF(INDEX(T_Employees[שם],44)="","",INDEX(T_Employees[שם],44)),"")</f>
        <v/>
      </c>
    </row>
    <row r="47" customFormat="false" ht="15" hidden="false" customHeight="true" outlineLevel="0" collapsed="false">
      <c r="H47" s="25"/>
      <c r="I47" s="25"/>
      <c r="J47" s="25"/>
      <c r="K47" s="25"/>
      <c r="L47" s="25"/>
      <c r="M47" s="25"/>
      <c r="O47" s="25"/>
      <c r="P47" s="25"/>
      <c r="Q47" s="25"/>
      <c r="R47" s="25"/>
      <c r="T47" s="25"/>
      <c r="U47" s="25"/>
      <c r="V47" s="25"/>
      <c r="W47" s="26" t="n">
        <v>0</v>
      </c>
      <c r="Y47" s="27" t="str">
        <f aca="false">IFERROR(IF(INDEX(T_Employees[שם],45)="","",INDEX(T_Employees[שם],45)),"")</f>
        <v/>
      </c>
    </row>
    <row r="48" customFormat="false" ht="15" hidden="false" customHeight="true" outlineLevel="0" collapsed="false">
      <c r="H48" s="25"/>
      <c r="I48" s="25"/>
      <c r="J48" s="25"/>
      <c r="K48" s="25"/>
      <c r="L48" s="25"/>
      <c r="M48" s="25"/>
      <c r="O48" s="25"/>
      <c r="P48" s="25"/>
      <c r="Q48" s="25"/>
      <c r="R48" s="25"/>
      <c r="T48" s="25"/>
      <c r="U48" s="25"/>
      <c r="V48" s="25"/>
      <c r="W48" s="26" t="n">
        <v>0</v>
      </c>
      <c r="Y48" s="27" t="str">
        <f aca="false">IFERROR(IF(INDEX(T_Employees[שם],46)="","",INDEX(T_Employees[שם],46)),"")</f>
        <v/>
      </c>
    </row>
    <row r="49" customFormat="false" ht="15" hidden="false" customHeight="true" outlineLevel="0" collapsed="false">
      <c r="H49" s="25"/>
      <c r="I49" s="25"/>
      <c r="J49" s="25"/>
      <c r="K49" s="25"/>
      <c r="L49" s="25"/>
      <c r="M49" s="25"/>
      <c r="O49" s="25"/>
      <c r="P49" s="25"/>
      <c r="Q49" s="25"/>
      <c r="R49" s="25"/>
      <c r="T49" s="25"/>
      <c r="U49" s="25"/>
      <c r="V49" s="25"/>
      <c r="W49" s="26" t="n">
        <v>0</v>
      </c>
      <c r="Y49" s="27" t="str">
        <f aca="false">IFERROR(IF(INDEX(T_Employees[שם],47)="","",INDEX(T_Employees[שם],47)),"")</f>
        <v/>
      </c>
    </row>
    <row r="50" customFormat="false" ht="15" hidden="false" customHeight="true" outlineLevel="0" collapsed="false">
      <c r="H50" s="25"/>
      <c r="I50" s="25"/>
      <c r="J50" s="25"/>
      <c r="K50" s="25"/>
      <c r="L50" s="25"/>
      <c r="M50" s="25"/>
      <c r="O50" s="25"/>
      <c r="P50" s="25"/>
      <c r="Q50" s="25"/>
      <c r="R50" s="25"/>
      <c r="T50" s="25"/>
      <c r="U50" s="25"/>
      <c r="V50" s="25"/>
      <c r="W50" s="26" t="n">
        <v>0</v>
      </c>
      <c r="Y50" s="27" t="str">
        <f aca="false">IFERROR(IF(INDEX(T_Employees[שם],48)="","",INDEX(T_Employees[שם],48)),"")</f>
        <v/>
      </c>
    </row>
    <row r="51" customFormat="false" ht="15" hidden="false" customHeight="true" outlineLevel="0" collapsed="false">
      <c r="H51" s="25"/>
      <c r="I51" s="25"/>
      <c r="J51" s="25"/>
      <c r="K51" s="25"/>
      <c r="L51" s="25"/>
      <c r="M51" s="25"/>
      <c r="O51" s="25"/>
      <c r="P51" s="25"/>
      <c r="Q51" s="25"/>
      <c r="R51" s="25"/>
      <c r="T51" s="25"/>
      <c r="U51" s="25"/>
      <c r="V51" s="25"/>
      <c r="W51" s="26" t="n">
        <v>0</v>
      </c>
      <c r="Y51" s="27" t="str">
        <f aca="false">IFERROR(IF(INDEX(T_Employees[שם],49)="","",INDEX(T_Employees[שם],49)),"")</f>
        <v/>
      </c>
    </row>
    <row r="52" customFormat="false" ht="15" hidden="false" customHeight="true" outlineLevel="0" collapsed="false">
      <c r="H52" s="25"/>
      <c r="I52" s="25"/>
      <c r="J52" s="25"/>
      <c r="K52" s="25"/>
      <c r="L52" s="25"/>
      <c r="M52" s="25"/>
      <c r="O52" s="25"/>
      <c r="P52" s="25"/>
      <c r="Q52" s="25"/>
      <c r="R52" s="25"/>
      <c r="T52" s="25"/>
      <c r="U52" s="25"/>
      <c r="V52" s="25"/>
      <c r="W52" s="26" t="n">
        <v>0</v>
      </c>
      <c r="Y52" s="27" t="str">
        <f aca="false">IFERROR(IF(INDEX(T_Employees[שם],50)="","",INDEX(T_Employees[שם],50)),"")</f>
        <v/>
      </c>
    </row>
    <row r="53" customFormat="false" ht="15" hidden="false" customHeight="true" outlineLevel="0" collapsed="false">
      <c r="T53" s="25"/>
      <c r="U53" s="25"/>
      <c r="V53" s="25"/>
      <c r="W53" s="26" t="n">
        <v>0</v>
      </c>
      <c r="Y53" s="28" t="str">
        <f aca="false">IFERROR(IF(INDEX(T_Consultants[שם יועץ],1)="","",INDEX(T_Consultants[שם יועץ],1)),"")</f>
        <v/>
      </c>
    </row>
    <row r="54" customFormat="false" ht="15" hidden="false" customHeight="true" outlineLevel="0" collapsed="false">
      <c r="T54" s="25"/>
      <c r="U54" s="25"/>
      <c r="V54" s="25"/>
      <c r="W54" s="26" t="n">
        <v>0</v>
      </c>
      <c r="Y54" s="28" t="str">
        <f aca="false">IFERROR(IF(INDEX(T_Consultants[שם יועץ],2)="","",INDEX(T_Consultants[שם יועץ],2)),"")</f>
        <v/>
      </c>
    </row>
    <row r="55" customFormat="false" ht="15" hidden="false" customHeight="true" outlineLevel="0" collapsed="false">
      <c r="T55" s="25"/>
      <c r="U55" s="25"/>
      <c r="V55" s="25"/>
      <c r="W55" s="26" t="n">
        <v>0</v>
      </c>
      <c r="Y55" s="28" t="str">
        <f aca="false">IFERROR(IF(INDEX(T_Consultants[שם יועץ],3)="","",INDEX(T_Consultants[שם יועץ],3)),"")</f>
        <v/>
      </c>
    </row>
    <row r="56" customFormat="false" ht="15" hidden="false" customHeight="true" outlineLevel="0" collapsed="false">
      <c r="T56" s="25"/>
      <c r="U56" s="25"/>
      <c r="V56" s="25"/>
      <c r="W56" s="26" t="n">
        <v>0</v>
      </c>
      <c r="Y56" s="28" t="str">
        <f aca="false">IFERROR(IF(INDEX(T_Consultants[שם יועץ],4)="","",INDEX(T_Consultants[שם יועץ],4)),"")</f>
        <v/>
      </c>
    </row>
    <row r="57" customFormat="false" ht="15" hidden="false" customHeight="true" outlineLevel="0" collapsed="false">
      <c r="T57" s="25"/>
      <c r="U57" s="25"/>
      <c r="V57" s="25"/>
      <c r="W57" s="26" t="n">
        <v>0</v>
      </c>
      <c r="Y57" s="28" t="str">
        <f aca="false">IFERROR(IF(INDEX(T_Consultants[שם יועץ],5)="","",INDEX(T_Consultants[שם יועץ],5)),"")</f>
        <v/>
      </c>
    </row>
    <row r="58" customFormat="false" ht="15" hidden="false" customHeight="true" outlineLevel="0" collapsed="false">
      <c r="T58" s="25"/>
      <c r="U58" s="25"/>
      <c r="V58" s="25"/>
      <c r="W58" s="26" t="n">
        <v>0</v>
      </c>
      <c r="Y58" s="28" t="str">
        <f aca="false">IFERROR(IF(INDEX(T_Consultants[שם יועץ],6)="","",INDEX(T_Consultants[שם יועץ],6)),"")</f>
        <v/>
      </c>
    </row>
    <row r="59" customFormat="false" ht="15" hidden="false" customHeight="true" outlineLevel="0" collapsed="false">
      <c r="T59" s="25"/>
      <c r="U59" s="25"/>
      <c r="V59" s="25"/>
      <c r="W59" s="26" t="n">
        <v>0</v>
      </c>
      <c r="Y59" s="28" t="str">
        <f aca="false">IFERROR(IF(INDEX(T_Consultants[שם יועץ],7)="","",INDEX(T_Consultants[שם יועץ],7)),"")</f>
        <v/>
      </c>
    </row>
    <row r="60" customFormat="false" ht="15" hidden="false" customHeight="true" outlineLevel="0" collapsed="false">
      <c r="T60" s="25"/>
      <c r="U60" s="25"/>
      <c r="V60" s="25"/>
      <c r="W60" s="26" t="n">
        <v>0</v>
      </c>
      <c r="Y60" s="28" t="str">
        <f aca="false">IFERROR(IF(INDEX(T_Consultants[שם יועץ],8)="","",INDEX(T_Consultants[שם יועץ],8)),"")</f>
        <v/>
      </c>
    </row>
    <row r="61" customFormat="false" ht="15" hidden="false" customHeight="true" outlineLevel="0" collapsed="false">
      <c r="T61" s="25"/>
      <c r="U61" s="25"/>
      <c r="V61" s="25"/>
      <c r="W61" s="26" t="n">
        <v>0</v>
      </c>
      <c r="Y61" s="28" t="str">
        <f aca="false">IFERROR(IF(INDEX(T_Consultants[שם יועץ],9)="","",INDEX(T_Consultants[שם יועץ],9)),"")</f>
        <v/>
      </c>
    </row>
    <row r="62" customFormat="false" ht="15" hidden="false" customHeight="true" outlineLevel="0" collapsed="false">
      <c r="T62" s="25"/>
      <c r="U62" s="25"/>
      <c r="V62" s="25"/>
      <c r="W62" s="26" t="n">
        <v>0</v>
      </c>
      <c r="Y62" s="28" t="str">
        <f aca="false">IFERROR(IF(INDEX(T_Consultants[שם יועץ],10)="","",INDEX(T_Consultants[שם יועץ],10)),"")</f>
        <v/>
      </c>
    </row>
    <row r="63" customFormat="false" ht="15" hidden="false" customHeight="true" outlineLevel="0" collapsed="false">
      <c r="T63" s="25"/>
      <c r="U63" s="25"/>
      <c r="V63" s="25"/>
      <c r="W63" s="26" t="n">
        <v>0</v>
      </c>
      <c r="Y63" s="28" t="str">
        <f aca="false">IFERROR(IF(INDEX(T_Consultants[שם יועץ],11)="","",INDEX(T_Consultants[שם יועץ],11)),"")</f>
        <v/>
      </c>
    </row>
    <row r="64" customFormat="false" ht="15" hidden="false" customHeight="true" outlineLevel="0" collapsed="false">
      <c r="T64" s="25"/>
      <c r="U64" s="25"/>
      <c r="V64" s="25"/>
      <c r="W64" s="26" t="n">
        <v>0</v>
      </c>
      <c r="Y64" s="28" t="str">
        <f aca="false">IFERROR(IF(INDEX(T_Consultants[שם יועץ],12)="","",INDEX(T_Consultants[שם יועץ],12)),"")</f>
        <v/>
      </c>
    </row>
    <row r="65" customFormat="false" ht="15" hidden="false" customHeight="true" outlineLevel="0" collapsed="false">
      <c r="T65" s="25"/>
      <c r="U65" s="25"/>
      <c r="V65" s="25"/>
      <c r="W65" s="26" t="n">
        <v>0</v>
      </c>
      <c r="Y65" s="28" t="str">
        <f aca="false">IFERROR(IF(INDEX(T_Consultants[שם יועץ],13)="","",INDEX(T_Consultants[שם יועץ],13)),"")</f>
        <v/>
      </c>
    </row>
    <row r="66" customFormat="false" ht="15" hidden="false" customHeight="true" outlineLevel="0" collapsed="false">
      <c r="T66" s="25"/>
      <c r="U66" s="25"/>
      <c r="V66" s="25"/>
      <c r="W66" s="26" t="n">
        <v>0</v>
      </c>
      <c r="Y66" s="28" t="str">
        <f aca="false">IFERROR(IF(INDEX(T_Consultants[שם יועץ],14)="","",INDEX(T_Consultants[שם יועץ],14)),"")</f>
        <v/>
      </c>
    </row>
    <row r="67" customFormat="false" ht="15" hidden="false" customHeight="true" outlineLevel="0" collapsed="false">
      <c r="T67" s="25"/>
      <c r="U67" s="25"/>
      <c r="V67" s="25"/>
      <c r="W67" s="26" t="n">
        <v>0</v>
      </c>
      <c r="Y67" s="28" t="str">
        <f aca="false">IFERROR(IF(INDEX(T_Consultants[שם יועץ],15)="","",INDEX(T_Consultants[שם יועץ],15)),"")</f>
        <v/>
      </c>
    </row>
    <row r="68" customFormat="false" ht="15" hidden="false" customHeight="true" outlineLevel="0" collapsed="false">
      <c r="T68" s="25"/>
      <c r="U68" s="25"/>
      <c r="V68" s="25"/>
      <c r="W68" s="26" t="n">
        <v>0</v>
      </c>
      <c r="Y68" s="28" t="str">
        <f aca="false">IFERROR(IF(INDEX(T_Consultants[שם יועץ],16)="","",INDEX(T_Consultants[שם יועץ],16)),"")</f>
        <v/>
      </c>
    </row>
    <row r="69" customFormat="false" ht="15" hidden="false" customHeight="true" outlineLevel="0" collapsed="false">
      <c r="T69" s="25"/>
      <c r="U69" s="25"/>
      <c r="V69" s="25"/>
      <c r="W69" s="26" t="n">
        <v>0</v>
      </c>
      <c r="Y69" s="28" t="str">
        <f aca="false">IFERROR(IF(INDEX(T_Consultants[שם יועץ],17)="","",INDEX(T_Consultants[שם יועץ],17)),"")</f>
        <v/>
      </c>
    </row>
    <row r="70" customFormat="false" ht="15" hidden="false" customHeight="true" outlineLevel="0" collapsed="false">
      <c r="T70" s="25"/>
      <c r="U70" s="25"/>
      <c r="V70" s="25"/>
      <c r="W70" s="26" t="n">
        <v>0</v>
      </c>
      <c r="Y70" s="28" t="str">
        <f aca="false">IFERROR(IF(INDEX(T_Consultants[שם יועץ],18)="","",INDEX(T_Consultants[שם יועץ],18)),"")</f>
        <v/>
      </c>
    </row>
    <row r="71" customFormat="false" ht="15" hidden="false" customHeight="true" outlineLevel="0" collapsed="false">
      <c r="T71" s="25"/>
      <c r="U71" s="25"/>
      <c r="V71" s="25"/>
      <c r="W71" s="26" t="n">
        <v>0</v>
      </c>
      <c r="Y71" s="28" t="str">
        <f aca="false">IFERROR(IF(INDEX(T_Consultants[שם יועץ],19)="","",INDEX(T_Consultants[שם יועץ],19)),"")</f>
        <v/>
      </c>
    </row>
    <row r="72" customFormat="false" ht="15" hidden="false" customHeight="true" outlineLevel="0" collapsed="false">
      <c r="T72" s="25"/>
      <c r="U72" s="25"/>
      <c r="V72" s="25"/>
      <c r="W72" s="26" t="n">
        <v>0</v>
      </c>
      <c r="Y72" s="28" t="str">
        <f aca="false">IFERROR(IF(INDEX(T_Consultants[שם יועץ],20)="","",INDEX(T_Consultants[שם יועץ],20)),"")</f>
        <v/>
      </c>
    </row>
    <row r="73" customFormat="false" ht="15" hidden="false" customHeight="true" outlineLevel="0" collapsed="false">
      <c r="T73" s="25"/>
      <c r="U73" s="25"/>
      <c r="V73" s="25"/>
      <c r="W73" s="26" t="n">
        <v>0</v>
      </c>
      <c r="Y73" s="28" t="str">
        <f aca="false">IFERROR(IF(INDEX(T_Consultants[שם יועץ],21)="","",INDEX(T_Consultants[שם יועץ],21)),"")</f>
        <v/>
      </c>
    </row>
    <row r="74" customFormat="false" ht="15" hidden="false" customHeight="true" outlineLevel="0" collapsed="false">
      <c r="T74" s="25"/>
      <c r="U74" s="25"/>
      <c r="V74" s="25"/>
      <c r="W74" s="26" t="n">
        <v>0</v>
      </c>
      <c r="Y74" s="28" t="str">
        <f aca="false">IFERROR(IF(INDEX(T_Consultants[שם יועץ],22)="","",INDEX(T_Consultants[שם יועץ],22)),"")</f>
        <v/>
      </c>
    </row>
    <row r="75" customFormat="false" ht="15" hidden="false" customHeight="true" outlineLevel="0" collapsed="false">
      <c r="T75" s="25"/>
      <c r="U75" s="25"/>
      <c r="V75" s="25"/>
      <c r="W75" s="26" t="n">
        <v>0</v>
      </c>
      <c r="Y75" s="28" t="str">
        <f aca="false">IFERROR(IF(INDEX(T_Consultants[שם יועץ],23)="","",INDEX(T_Consultants[שם יועץ],23)),"")</f>
        <v/>
      </c>
    </row>
    <row r="76" customFormat="false" ht="15" hidden="false" customHeight="true" outlineLevel="0" collapsed="false">
      <c r="T76" s="25"/>
      <c r="U76" s="25"/>
      <c r="V76" s="25"/>
      <c r="W76" s="26" t="n">
        <v>0</v>
      </c>
      <c r="Y76" s="28" t="str">
        <f aca="false">IFERROR(IF(INDEX(T_Consultants[שם יועץ],24)="","",INDEX(T_Consultants[שם יועץ],24)),"")</f>
        <v/>
      </c>
    </row>
    <row r="77" customFormat="false" ht="15" hidden="false" customHeight="true" outlineLevel="0" collapsed="false">
      <c r="T77" s="25"/>
      <c r="U77" s="25"/>
      <c r="V77" s="25"/>
      <c r="W77" s="26" t="n">
        <v>0</v>
      </c>
      <c r="Y77" s="28" t="str">
        <f aca="false">IFERROR(IF(INDEX(T_Consultants[שם יועץ],25)="","",INDEX(T_Consultants[שם יועץ],25)),"")</f>
        <v/>
      </c>
    </row>
    <row r="78" customFormat="false" ht="15" hidden="false" customHeight="true" outlineLevel="0" collapsed="false">
      <c r="T78" s="25"/>
      <c r="U78" s="25"/>
      <c r="V78" s="25"/>
      <c r="W78" s="26" t="n">
        <v>0</v>
      </c>
      <c r="Y78" s="28" t="str">
        <f aca="false">IFERROR(IF(INDEX(T_Consultants[שם יועץ],26)="","",INDEX(T_Consultants[שם יועץ],26)),"")</f>
        <v/>
      </c>
    </row>
    <row r="79" customFormat="false" ht="15" hidden="false" customHeight="true" outlineLevel="0" collapsed="false">
      <c r="T79" s="25"/>
      <c r="U79" s="25"/>
      <c r="V79" s="25"/>
      <c r="W79" s="26" t="n">
        <v>0</v>
      </c>
      <c r="Y79" s="28" t="str">
        <f aca="false">IFERROR(IF(INDEX(T_Consultants[שם יועץ],27)="","",INDEX(T_Consultants[שם יועץ],27)),"")</f>
        <v/>
      </c>
    </row>
    <row r="80" customFormat="false" ht="15" hidden="false" customHeight="true" outlineLevel="0" collapsed="false">
      <c r="T80" s="25"/>
      <c r="U80" s="25"/>
      <c r="V80" s="25"/>
      <c r="W80" s="26" t="n">
        <v>0</v>
      </c>
      <c r="Y80" s="28" t="str">
        <f aca="false">IFERROR(IF(INDEX(T_Consultants[שם יועץ],28)="","",INDEX(T_Consultants[שם יועץ],28)),"")</f>
        <v/>
      </c>
    </row>
    <row r="81" customFormat="false" ht="15" hidden="false" customHeight="true" outlineLevel="0" collapsed="false">
      <c r="T81" s="25"/>
      <c r="U81" s="25"/>
      <c r="V81" s="25"/>
      <c r="W81" s="26" t="n">
        <v>0</v>
      </c>
      <c r="Y81" s="28" t="str">
        <f aca="false">IFERROR(IF(INDEX(T_Consultants[שם יועץ],29)="","",INDEX(T_Consultants[שם יועץ],29)),"")</f>
        <v/>
      </c>
    </row>
    <row r="82" customFormat="false" ht="15" hidden="false" customHeight="true" outlineLevel="0" collapsed="false">
      <c r="T82" s="25"/>
      <c r="U82" s="25"/>
      <c r="V82" s="25"/>
      <c r="W82" s="26" t="n">
        <v>0</v>
      </c>
      <c r="Y82" s="28" t="str">
        <f aca="false">IFERROR(IF(INDEX(T_Consultants[שם יועץ],30)="","",INDEX(T_Consultants[שם יועץ],30)),"")</f>
        <v/>
      </c>
    </row>
    <row r="83" customFormat="false" ht="15" hidden="false" customHeight="true" outlineLevel="0" collapsed="false">
      <c r="T83" s="25"/>
      <c r="U83" s="25"/>
      <c r="V83" s="25"/>
      <c r="W83" s="26" t="n">
        <v>0</v>
      </c>
      <c r="Y83" s="28" t="str">
        <f aca="false">IFERROR(IF(INDEX(T_Consultants[שם יועץ],31)="","",INDEX(T_Consultants[שם יועץ],31)),"")</f>
        <v/>
      </c>
    </row>
    <row r="84" customFormat="false" ht="15" hidden="false" customHeight="true" outlineLevel="0" collapsed="false">
      <c r="T84" s="25"/>
      <c r="U84" s="25"/>
      <c r="V84" s="25"/>
      <c r="W84" s="26" t="n">
        <v>0</v>
      </c>
      <c r="Y84" s="28" t="str">
        <f aca="false">IFERROR(IF(INDEX(T_Consultants[שם יועץ],32)="","",INDEX(T_Consultants[שם יועץ],32)),"")</f>
        <v/>
      </c>
    </row>
    <row r="85" customFormat="false" ht="15" hidden="false" customHeight="true" outlineLevel="0" collapsed="false">
      <c r="T85" s="25"/>
      <c r="U85" s="25"/>
      <c r="V85" s="25"/>
      <c r="W85" s="26" t="n">
        <v>0</v>
      </c>
      <c r="Y85" s="28" t="str">
        <f aca="false">IFERROR(IF(INDEX(T_Consultants[שם יועץ],33)="","",INDEX(T_Consultants[שם יועץ],33)),"")</f>
        <v/>
      </c>
    </row>
    <row r="86" customFormat="false" ht="15" hidden="false" customHeight="true" outlineLevel="0" collapsed="false">
      <c r="T86" s="25"/>
      <c r="U86" s="25"/>
      <c r="V86" s="25"/>
      <c r="W86" s="26" t="n">
        <v>0</v>
      </c>
      <c r="Y86" s="28" t="str">
        <f aca="false">IFERROR(IF(INDEX(T_Consultants[שם יועץ],34)="","",INDEX(T_Consultants[שם יועץ],34)),"")</f>
        <v/>
      </c>
    </row>
    <row r="87" customFormat="false" ht="15" hidden="false" customHeight="true" outlineLevel="0" collapsed="false">
      <c r="T87" s="25"/>
      <c r="U87" s="25"/>
      <c r="V87" s="25"/>
      <c r="W87" s="26" t="n">
        <v>0</v>
      </c>
      <c r="Y87" s="28" t="str">
        <f aca="false">IFERROR(IF(INDEX(T_Consultants[שם יועץ],35)="","",INDEX(T_Consultants[שם יועץ],35)),"")</f>
        <v/>
      </c>
    </row>
    <row r="88" customFormat="false" ht="15" hidden="false" customHeight="true" outlineLevel="0" collapsed="false">
      <c r="T88" s="25"/>
      <c r="U88" s="25"/>
      <c r="V88" s="25"/>
      <c r="W88" s="26" t="n">
        <v>0</v>
      </c>
      <c r="Y88" s="28" t="str">
        <f aca="false">IFERROR(IF(INDEX(T_Consultants[שם יועץ],36)="","",INDEX(T_Consultants[שם יועץ],36)),"")</f>
        <v/>
      </c>
    </row>
    <row r="89" customFormat="false" ht="15" hidden="false" customHeight="true" outlineLevel="0" collapsed="false">
      <c r="T89" s="25"/>
      <c r="U89" s="25"/>
      <c r="V89" s="25"/>
      <c r="W89" s="26" t="n">
        <v>0</v>
      </c>
      <c r="Y89" s="28" t="str">
        <f aca="false">IFERROR(IF(INDEX(T_Consultants[שם יועץ],37)="","",INDEX(T_Consultants[שם יועץ],37)),"")</f>
        <v/>
      </c>
    </row>
    <row r="90" customFormat="false" ht="15" hidden="false" customHeight="true" outlineLevel="0" collapsed="false">
      <c r="T90" s="25"/>
      <c r="U90" s="25"/>
      <c r="V90" s="25"/>
      <c r="W90" s="26" t="n">
        <v>0</v>
      </c>
      <c r="Y90" s="28" t="str">
        <f aca="false">IFERROR(IF(INDEX(T_Consultants[שם יועץ],38)="","",INDEX(T_Consultants[שם יועץ],38)),"")</f>
        <v/>
      </c>
    </row>
    <row r="91" customFormat="false" ht="15" hidden="false" customHeight="true" outlineLevel="0" collapsed="false">
      <c r="T91" s="25"/>
      <c r="U91" s="25"/>
      <c r="V91" s="25"/>
      <c r="W91" s="26" t="n">
        <v>0</v>
      </c>
      <c r="Y91" s="28" t="str">
        <f aca="false">IFERROR(IF(INDEX(T_Consultants[שם יועץ],39)="","",INDEX(T_Consultants[שם יועץ],39)),"")</f>
        <v/>
      </c>
    </row>
    <row r="92" customFormat="false" ht="15" hidden="false" customHeight="true" outlineLevel="0" collapsed="false">
      <c r="T92" s="25"/>
      <c r="U92" s="25"/>
      <c r="V92" s="25"/>
      <c r="W92" s="26" t="n">
        <v>0</v>
      </c>
      <c r="Y92" s="28" t="str">
        <f aca="false">IFERROR(IF(INDEX(T_Consultants[שם יועץ],40)="","",INDEX(T_Consultants[שם יועץ],40)),"")</f>
        <v/>
      </c>
    </row>
    <row r="93" customFormat="false" ht="15" hidden="false" customHeight="true" outlineLevel="0" collapsed="false">
      <c r="T93" s="25"/>
      <c r="U93" s="25"/>
      <c r="V93" s="25"/>
      <c r="W93" s="26" t="n">
        <v>0</v>
      </c>
      <c r="Y93" s="28" t="str">
        <f aca="false">IFERROR(IF(INDEX(T_Consultants[שם יועץ],41)="","",INDEX(T_Consultants[שם יועץ],41)),"")</f>
        <v/>
      </c>
    </row>
    <row r="94" customFormat="false" ht="15" hidden="false" customHeight="true" outlineLevel="0" collapsed="false">
      <c r="T94" s="25"/>
      <c r="U94" s="25"/>
      <c r="V94" s="25"/>
      <c r="W94" s="26" t="n">
        <v>0</v>
      </c>
      <c r="Y94" s="28" t="str">
        <f aca="false">IFERROR(IF(INDEX(T_Consultants[שם יועץ],42)="","",INDEX(T_Consultants[שם יועץ],42)),"")</f>
        <v/>
      </c>
    </row>
    <row r="95" customFormat="false" ht="15" hidden="false" customHeight="true" outlineLevel="0" collapsed="false">
      <c r="T95" s="25"/>
      <c r="U95" s="25"/>
      <c r="V95" s="25"/>
      <c r="W95" s="26" t="n">
        <v>0</v>
      </c>
      <c r="Y95" s="28" t="str">
        <f aca="false">IFERROR(IF(INDEX(T_Consultants[שם יועץ],43)="","",INDEX(T_Consultants[שם יועץ],43)),"")</f>
        <v/>
      </c>
    </row>
    <row r="96" customFormat="false" ht="15" hidden="false" customHeight="true" outlineLevel="0" collapsed="false">
      <c r="T96" s="25"/>
      <c r="U96" s="25"/>
      <c r="V96" s="25"/>
      <c r="W96" s="26" t="n">
        <v>0</v>
      </c>
      <c r="Y96" s="28" t="str">
        <f aca="false">IFERROR(IF(INDEX(T_Consultants[שם יועץ],44)="","",INDEX(T_Consultants[שם יועץ],44)),"")</f>
        <v/>
      </c>
    </row>
    <row r="97" customFormat="false" ht="15" hidden="false" customHeight="true" outlineLevel="0" collapsed="false">
      <c r="T97" s="25"/>
      <c r="U97" s="25"/>
      <c r="V97" s="25"/>
      <c r="W97" s="26" t="n">
        <v>0</v>
      </c>
      <c r="Y97" s="28" t="str">
        <f aca="false">IFERROR(IF(INDEX(T_Consultants[שם יועץ],45)="","",INDEX(T_Consultants[שם יועץ],45)),"")</f>
        <v/>
      </c>
    </row>
    <row r="98" customFormat="false" ht="15" hidden="false" customHeight="true" outlineLevel="0" collapsed="false">
      <c r="T98" s="25"/>
      <c r="U98" s="25"/>
      <c r="V98" s="25"/>
      <c r="W98" s="26" t="n">
        <v>0</v>
      </c>
      <c r="Y98" s="28" t="str">
        <f aca="false">IFERROR(IF(INDEX(T_Consultants[שם יועץ],46)="","",INDEX(T_Consultants[שם יועץ],46)),"")</f>
        <v/>
      </c>
    </row>
    <row r="99" customFormat="false" ht="15" hidden="false" customHeight="true" outlineLevel="0" collapsed="false">
      <c r="T99" s="25"/>
      <c r="U99" s="25"/>
      <c r="V99" s="25"/>
      <c r="W99" s="26" t="n">
        <v>0</v>
      </c>
      <c r="Y99" s="28" t="str">
        <f aca="false">IFERROR(IF(INDEX(T_Consultants[שם יועץ],47)="","",INDEX(T_Consultants[שם יועץ],47)),"")</f>
        <v/>
      </c>
    </row>
    <row r="100" customFormat="false" ht="15" hidden="false" customHeight="true" outlineLevel="0" collapsed="false">
      <c r="T100" s="25"/>
      <c r="U100" s="25"/>
      <c r="V100" s="25"/>
      <c r="W100" s="26" t="n">
        <v>0</v>
      </c>
      <c r="Y100" s="28" t="str">
        <f aca="false">IFERROR(IF(INDEX(T_Consultants[שם יועץ],48)="","",INDEX(T_Consultants[שם יועץ],48)),"")</f>
        <v/>
      </c>
    </row>
    <row r="101" customFormat="false" ht="15" hidden="false" customHeight="true" outlineLevel="0" collapsed="false">
      <c r="T101" s="25"/>
      <c r="U101" s="25"/>
      <c r="V101" s="25"/>
      <c r="W101" s="26" t="n">
        <v>0</v>
      </c>
      <c r="Y101" s="28" t="str">
        <f aca="false">IFERROR(IF(INDEX(T_Consultants[שם יועץ],49)="","",INDEX(T_Consultants[שם יועץ],49)),"")</f>
        <v/>
      </c>
    </row>
    <row r="102" customFormat="false" ht="15" hidden="false" customHeight="true" outlineLevel="0" collapsed="false">
      <c r="T102" s="25"/>
      <c r="U102" s="25"/>
      <c r="V102" s="25"/>
      <c r="W102" s="26" t="n">
        <v>0</v>
      </c>
      <c r="Y102" s="28" t="str">
        <f aca="false">IFERROR(IF(INDEX(T_Consultants[שם יועץ],50)="","",INDEX(T_Consultants[שם יועץ],50)),"")</f>
        <v/>
      </c>
    </row>
  </sheetData>
  <mergeCells count="1">
    <mergeCell ref="A1:Z1"/>
  </mergeCells>
  <dataValidations count="8">
    <dataValidation allowBlank="false" error="בחר מהרשימה" errorStyle="stop" errorTitle="שגיאה" operator="between" showDropDown="false" showErrorMessage="true" showInputMessage="false" sqref="D3:D17" type="list">
      <formula1>T_Depts[מחלקה]</formula1>
      <formula2>0</formula2>
    </dataValidation>
    <dataValidation allowBlank="false" error="בחר מהרשימה" errorStyle="stop" errorTitle="שגיאה" operator="between" showDropDown="false" showErrorMessage="true" showInputMessage="false" sqref="I3:I52" type="list">
      <formula1>T_Depts[מחלקה]</formula1>
      <formula2>0</formula2>
    </dataValidation>
    <dataValidation allowBlank="false" error="בחר מהרשימה" errorStyle="stop" errorTitle="שגיאה" operator="between" showDropDown="false" showErrorMessage="true" showInputMessage="false" sqref="J3:J52" type="list">
      <formula1>T_Teams[צוות]</formula1>
      <formula2>0</formula2>
    </dataValidation>
    <dataValidation allowBlank="false" error="בחר מהרשימה" errorStyle="stop" errorTitle="שגיאה" operator="between" showDropDown="false" showErrorMessage="true" showInputMessage="false" sqref="K3:K52" type="list">
      <formula1>T_Roles[תפקידים]</formula1>
      <formula2>0</formula2>
    </dataValidation>
    <dataValidation allowBlank="false" error="בחר מהרשימה" errorStyle="stop" errorTitle="שגיאה" operator="between" showDropDown="false" showErrorMessage="true" showInputMessage="false" sqref="P3:P52" type="list">
      <formula1>T_Depts[מחלקה]</formula1>
      <formula2>0</formula2>
    </dataValidation>
    <dataValidation allowBlank="false" error="בחר מהרשימה" errorStyle="stop" errorTitle="שגיאה" operator="between" showDropDown="false" showErrorMessage="true" showInputMessage="false" sqref="T3:T102" type="list">
      <formula1>T_Depts[מחלקה]</formula1>
      <formula2>0</formula2>
    </dataValidation>
    <dataValidation allowBlank="false" error="בחר מהרשימה" errorStyle="stop" errorTitle="שגיאה" operator="between" showDropDown="false" showErrorMessage="true" showInputMessage="false" sqref="U3:U102" type="list">
      <formula1>T_Roles[תפקידים]</formula1>
      <formula2>0</formula2>
    </dataValidation>
    <dataValidation allowBlank="false" error="בחר מהרשימה" errorStyle="stop" errorTitle="שגיאה" operator="between" showDropDown="false" showErrorMessage="true" showInputMessage="false" sqref="V3:V102" type="list">
      <formula1>"בוקר,אמצע,ערב"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0"/>
    <col collapsed="false" customWidth="true" hidden="false" outlineLevel="0" max="12" min="8" style="1" width="8"/>
    <col collapsed="false" customWidth="true" hidden="false" outlineLevel="0" max="13" min="13" style="1" width="15"/>
    <col collapsed="false" customWidth="true" hidden="false" outlineLevel="0" max="15" min="14" style="1" width="10"/>
  </cols>
  <sheetData>
    <row r="1" customFormat="false" ht="31.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29" t="s">
        <v>46</v>
      </c>
      <c r="B2" s="29" t="s">
        <v>42</v>
      </c>
      <c r="C2" s="29" t="s">
        <v>34</v>
      </c>
      <c r="D2" s="29" t="s">
        <v>33</v>
      </c>
      <c r="E2" s="29" t="s">
        <v>37</v>
      </c>
      <c r="F2" s="29" t="s">
        <v>36</v>
      </c>
      <c r="G2" s="30" t="s">
        <v>47</v>
      </c>
      <c r="H2" s="30" t="s">
        <v>43</v>
      </c>
      <c r="I2" s="30" t="s">
        <v>48</v>
      </c>
      <c r="J2" s="30" t="s">
        <v>49</v>
      </c>
      <c r="K2" s="30" t="s">
        <v>50</v>
      </c>
      <c r="L2" s="30" t="s">
        <v>51</v>
      </c>
      <c r="M2" s="31" t="s">
        <v>52</v>
      </c>
      <c r="N2" s="6" t="s">
        <v>53</v>
      </c>
      <c r="O2" s="32" t="s">
        <v>54</v>
      </c>
    </row>
    <row r="3" customFormat="false" ht="19.5" hidden="false" customHeight="true" outlineLevel="0" collapsed="false">
      <c r="A3" s="33"/>
      <c r="B3" s="25"/>
      <c r="C3" s="25"/>
      <c r="D3" s="25"/>
      <c r="E3" s="25"/>
      <c r="F3" s="25"/>
      <c r="G3" s="34" t="str">
        <f aca="false">IFERROR(IF($F3="","",IF(COUNTIF(נתוני_בסיס!$O$3:$O$52,$F3)&gt;0,"יועץ","עובד")),"")</f>
        <v/>
      </c>
      <c r="H3" s="34" t="n">
        <f aca="false">IFERROR(IF($C3="",0,SUMPRODUCT((T_Standards[מחלקה]=$C3)*(T_Standards[תפקיד]=$E3)*(T_Standards[משמרת]=$B3)*T_Standards[תקן])),0)</f>
        <v>0</v>
      </c>
      <c r="I3" s="34" t="n">
        <f aca="false">IFERROR(IF($A3="",0,COUNTIFS($A$3:$A$2000,$A3,$B$3:$B$2000,$B3,$C$3:$C$2000,$C3,$E$3:$E$2000,$E3)),0)</f>
        <v>0</v>
      </c>
      <c r="J3" s="34" t="n">
        <f aca="false">IFERROR($H3-$I3,0)</f>
        <v>0</v>
      </c>
      <c r="K3" s="34" t="n">
        <f aca="false">IFERROR(MAX(0,$J3),0)</f>
        <v>0</v>
      </c>
      <c r="L3" s="34" t="n">
        <f aca="false">IFERROR(MAX(0,-$J3),0)</f>
        <v>-0</v>
      </c>
      <c r="M3" s="34" t="str">
        <f aca="false">IFERROR(IF($A3="","",IF($J3=0,"✓ מאויש",IF($J3&gt;0,"⚠ חוסר","↑ עודף"))),"")</f>
        <v/>
      </c>
      <c r="N3" s="34" t="str">
        <f aca="false">IFERROR(IF($A3="","",CHOOSE(WEEKDAY($A3,2),"ב׳","ג׳","ד׳","ה׳","ו׳","ש׳","א׳")),"")</f>
        <v/>
      </c>
      <c r="O3" s="34" t="str">
        <f aca="false">IFERROR(IF($A3="","",($A3-DATE(2024,1,1))*3+IF($B3="בוקר",1,IF($B3="אמצע",2,3))),"")</f>
        <v/>
      </c>
    </row>
  </sheetData>
  <mergeCells count="1">
    <mergeCell ref="A1:P1"/>
  </mergeCells>
  <conditionalFormatting sqref="M3:M2000">
    <cfRule type="expression" priority="2" aboveAverage="0" equalAverage="0" bottom="0" percent="0" rank="0" text="" dxfId="11">
      <formula>$M3="✓ מאויש"</formula>
    </cfRule>
    <cfRule type="expression" priority="3" aboveAverage="0" equalAverage="0" bottom="0" percent="0" rank="0" text="" dxfId="12">
      <formula>ISNUMBER(SEARCH("חוסר",$M3))</formula>
    </cfRule>
    <cfRule type="expression" priority="4" aboveAverage="0" equalAverage="0" bottom="0" percent="0" rank="0" text="" dxfId="13">
      <formula>ISNUMBER(SEARCH("עודף",$M3))</formula>
    </cfRule>
  </conditionalFormatting>
  <conditionalFormatting sqref="F3:F2000">
    <cfRule type="expression" priority="5" aboveAverage="0" equalAverage="0" bottom="0" percent="0" rank="0" text="" dxfId="14">
      <formula>AND($F3&lt;&gt;"",COUNTIFS(T_Assign[תאריך],"&gt;="&amp;הגדרות!$C$3,T_Assign[תאריך],"&lt;="&amp;הגדרות!$C$3+6,T_Assign[שם],$F3)&gt;=הגדרות!$C$14)</formula>
    </cfRule>
  </conditionalFormatting>
  <conditionalFormatting sqref="A3:M2000">
    <cfRule type="expression" priority="6" aboveAverage="0" equalAverage="0" bottom="0" percent="0" rank="0" text="" dxfId="15">
      <formula>AND($J3&gt;0,$A3&lt;&gt;"")</formula>
    </cfRule>
  </conditionalFormatting>
  <dataValidations count="6">
    <dataValidation allowBlank="false" error="הזן תאריך תקין" errorStyle="stop" errorTitle="שגיאה" operator="between" showDropDown="false" showErrorMessage="true" showInputMessage="false" sqref="A3:A1003" type="date">
      <formula1>0</formula1>
      <formula2>0</formula2>
    </dataValidation>
    <dataValidation allowBlank="false" error="בחר מהרשימה" errorStyle="stop" errorTitle="שגיאה" operator="between" showDropDown="false" showErrorMessage="true" showInputMessage="false" sqref="B3:B1003" type="list">
      <formula1>"בוקר,אמצע,ערב"</formula1>
      <formula2>0</formula2>
    </dataValidation>
    <dataValidation allowBlank="false" error="בחר מהרשימה" errorStyle="stop" errorTitle="שגיאה" operator="between" showDropDown="false" showErrorMessage="true" showInputMessage="false" sqref="C3:C1003" type="list">
      <formula1>T_Depts[מחלקה]</formula1>
      <formula2>0</formula2>
    </dataValidation>
    <dataValidation allowBlank="false" error="בחר מהרשימה" errorStyle="stop" errorTitle="שגיאה" operator="between" showDropDown="false" showErrorMessage="true" showInputMessage="false" sqref="D3:D1003" type="list">
      <formula1>T_Teams[צוות]</formula1>
      <formula2>0</formula2>
    </dataValidation>
    <dataValidation allowBlank="false" error="בחר מהרשימה" errorStyle="stop" errorTitle="שגיאה" operator="between" showDropDown="false" showErrorMessage="true" showInputMessage="false" sqref="E3:E1003" type="list">
      <formula1>T_Roles[תפקידים]</formula1>
      <formula2>0</formula2>
    </dataValidation>
    <dataValidation allowBlank="false" error="בחר מהרשימה" errorStyle="stop" errorTitle="שגיאה" operator="between" showDropDown="false" showErrorMessage="true" showInputMessage="false" sqref="F3:F1003" type="list">
      <formula1>נתוני_בסיס!$Y$3:$Y$102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4" min="3" style="1" width="9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1"/>
    <col collapsed="false" customWidth="true" hidden="false" outlineLevel="0" max="14" min="14" style="1" width="8"/>
    <col collapsed="false" customWidth="true" hidden="false" outlineLevel="0" max="16" min="15" style="1" width="9"/>
    <col collapsed="false" customWidth="true" hidden="false" outlineLevel="0" max="17" min="17" style="1" width="13"/>
  </cols>
  <sheetData>
    <row r="1" customFormat="false" ht="31.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25.5" hidden="false" customHeight="true" outlineLevel="0" collapsed="false">
      <c r="A3" s="9" t="s">
        <v>56</v>
      </c>
      <c r="B3" s="35" t="n">
        <f aca="false">הגדרות!$C$3</f>
        <v>46096</v>
      </c>
      <c r="C3" s="36" t="s">
        <v>57</v>
      </c>
      <c r="D3" s="36"/>
      <c r="E3" s="36"/>
      <c r="F3" s="36"/>
    </row>
    <row r="5" customFormat="false" ht="21.75" hidden="false" customHeight="true" outlineLevel="0" collapsed="false">
      <c r="A5" s="19" t="s">
        <v>34</v>
      </c>
      <c r="B5" s="21" t="s">
        <v>12</v>
      </c>
      <c r="C5" s="21"/>
      <c r="D5" s="21"/>
      <c r="E5" s="21"/>
      <c r="F5" s="9" t="s">
        <v>14</v>
      </c>
      <c r="G5" s="9"/>
      <c r="H5" s="9"/>
      <c r="I5" s="9"/>
      <c r="J5" s="22" t="s">
        <v>16</v>
      </c>
      <c r="K5" s="22"/>
      <c r="L5" s="22"/>
      <c r="M5" s="22"/>
      <c r="N5" s="12" t="s">
        <v>58</v>
      </c>
      <c r="O5" s="12"/>
      <c r="P5" s="12"/>
      <c r="Q5" s="12"/>
    </row>
    <row r="6" customFormat="false" ht="18" hidden="false" customHeight="true" outlineLevel="0" collapsed="false">
      <c r="A6" s="37"/>
      <c r="B6" s="38" t="s">
        <v>43</v>
      </c>
      <c r="C6" s="38" t="s">
        <v>48</v>
      </c>
      <c r="D6" s="38" t="s">
        <v>49</v>
      </c>
      <c r="E6" s="38" t="s">
        <v>52</v>
      </c>
      <c r="F6" s="39" t="s">
        <v>43</v>
      </c>
      <c r="G6" s="39" t="s">
        <v>48</v>
      </c>
      <c r="H6" s="39" t="s">
        <v>49</v>
      </c>
      <c r="I6" s="39" t="s">
        <v>52</v>
      </c>
      <c r="J6" s="40" t="s">
        <v>43</v>
      </c>
      <c r="K6" s="40" t="s">
        <v>48</v>
      </c>
      <c r="L6" s="40" t="s">
        <v>49</v>
      </c>
      <c r="M6" s="40" t="s">
        <v>52</v>
      </c>
      <c r="N6" s="41" t="s">
        <v>43</v>
      </c>
      <c r="O6" s="41" t="s">
        <v>48</v>
      </c>
      <c r="P6" s="41" t="s">
        <v>49</v>
      </c>
      <c r="Q6" s="41" t="s">
        <v>52</v>
      </c>
    </row>
    <row r="7" customFormat="false" ht="15" hidden="false" customHeight="true" outlineLevel="0" collapsed="false">
      <c r="A7" s="42" t="str">
        <f aca="false">IFERROR(INDEX(T_Depts[מחלקה],1),"")</f>
        <v/>
      </c>
      <c r="B7" s="43" t="n">
        <f aca="false">IFERROR(SUMPRODUCT((T_Standards[מחלקה]=$A7)*(T_Standards[משמרת]="בוקר")*T_Standards[תקן]),0)</f>
        <v>0</v>
      </c>
      <c r="C7" s="44" t="n">
        <f aca="false">IFERROR(COUNTIFS(T_Assign[תאריך],$B$3,T_Assign[משמרת],"בוקר",T_Assign[מחלקה],$A7),0)</f>
        <v>0</v>
      </c>
      <c r="D7" s="11" t="n">
        <f aca="false">IFERROR(B7-C7,0)</f>
        <v>0</v>
      </c>
      <c r="E7" s="45" t="str">
        <f aca="false">IFERROR(IF($A7="","",IF(D7=0,"✓",IF(D7&gt;0,"⚠","↑"))),"")</f>
        <v/>
      </c>
      <c r="F7" s="43" t="n">
        <f aca="false">IFERROR(SUMPRODUCT((T_Standards[מחלקה]=$A7)*(T_Standards[משמרת]="אמצע")*T_Standards[תקן]),0)</f>
        <v>0</v>
      </c>
      <c r="G7" s="44" t="n">
        <f aca="false">IFERROR(COUNTIFS(T_Assign[תאריך],$B$3,T_Assign[משמרת],"אמצע",T_Assign[מחלקה],$A7),0)</f>
        <v>0</v>
      </c>
      <c r="H7" s="11" t="n">
        <f aca="false">IFERROR(F7-G7,0)</f>
        <v>0</v>
      </c>
      <c r="I7" s="45" t="str">
        <f aca="false">IFERROR(IF($A7="","",IF(H7=0,"✓",IF(H7&gt;0,"⚠","↑"))),"")</f>
        <v/>
      </c>
      <c r="J7" s="43" t="n">
        <f aca="false">IFERROR(SUMPRODUCT((T_Standards[מחלקה]=$A7)*(T_Standards[משמרת]="ערב")*T_Standards[תקן]),0)</f>
        <v>0</v>
      </c>
      <c r="K7" s="44" t="n">
        <f aca="false">IFERROR(COUNTIFS(T_Assign[תאריך],$B$3,T_Assign[משמרת],"ערב",T_Assign[מחלקה],$A7),0)</f>
        <v>0</v>
      </c>
      <c r="L7" s="11" t="n">
        <f aca="false">IFERROR(J7-K7,0)</f>
        <v>0</v>
      </c>
      <c r="M7" s="45" t="str">
        <f aca="false">IFERROR(IF($A7="","",IF(L7=0,"✓",IF(L7&gt;0,"⚠","↑"))),"")</f>
        <v/>
      </c>
      <c r="N7" s="46" t="n">
        <f aca="false">IFERROR(SUM(B7,F7,J7),0)</f>
        <v>0</v>
      </c>
      <c r="O7" s="47" t="n">
        <f aca="false">IFERROR(SUM(C7,G7,K7),0)</f>
        <v>0</v>
      </c>
      <c r="P7" s="48" t="n">
        <f aca="false">IFERROR(N7-O7,0)</f>
        <v>0</v>
      </c>
      <c r="Q7" s="49" t="str">
        <f aca="false">IFERROR(IF($A7="","",IF(P7=0,"✓ מאויש",IF(P7&gt;0,"⚠ חוסר","↑ עודף"))),"")</f>
        <v/>
      </c>
    </row>
    <row r="8" customFormat="false" ht="15" hidden="false" customHeight="true" outlineLevel="0" collapsed="false">
      <c r="A8" s="42" t="str">
        <f aca="false">IFERROR(INDEX(T_Depts[מחלקה],2),"")</f>
        <v/>
      </c>
      <c r="B8" s="43" t="n">
        <f aca="false">IFERROR(SUMPRODUCT((T_Standards[מחלקה]=$A8)*(T_Standards[משמרת]="בוקר")*T_Standards[תקן]),0)</f>
        <v>0</v>
      </c>
      <c r="C8" s="50" t="n">
        <f aca="false">IFERROR(COUNTIFS(T_Assign[תאריך],$B$3,T_Assign[משמרת],"בוקר",T_Assign[מחלקה],$A8),0)</f>
        <v>0</v>
      </c>
      <c r="D8" s="25" t="n">
        <f aca="false">IFERROR(B8-C8,0)</f>
        <v>0</v>
      </c>
      <c r="E8" s="51" t="str">
        <f aca="false">IFERROR(IF($A8="","",IF(D8=0,"✓",IF(D8&gt;0,"⚠","↑"))),"")</f>
        <v/>
      </c>
      <c r="F8" s="43" t="n">
        <f aca="false">IFERROR(SUMPRODUCT((T_Standards[מחלקה]=$A8)*(T_Standards[משמרת]="אמצע")*T_Standards[תקן]),0)</f>
        <v>0</v>
      </c>
      <c r="G8" s="50" t="n">
        <f aca="false">IFERROR(COUNTIFS(T_Assign[תאריך],$B$3,T_Assign[משמרת],"אמצע",T_Assign[מחלקה],$A8),0)</f>
        <v>0</v>
      </c>
      <c r="H8" s="25" t="n">
        <f aca="false">IFERROR(F8-G8,0)</f>
        <v>0</v>
      </c>
      <c r="I8" s="51" t="str">
        <f aca="false">IFERROR(IF($A8="","",IF(H8=0,"✓",IF(H8&gt;0,"⚠","↑"))),"")</f>
        <v/>
      </c>
      <c r="J8" s="43" t="n">
        <f aca="false">IFERROR(SUMPRODUCT((T_Standards[מחלקה]=$A8)*(T_Standards[משמרת]="ערב")*T_Standards[תקן]),0)</f>
        <v>0</v>
      </c>
      <c r="K8" s="50" t="n">
        <f aca="false">IFERROR(COUNTIFS(T_Assign[תאריך],$B$3,T_Assign[משמרת],"ערב",T_Assign[מחלקה],$A8),0)</f>
        <v>0</v>
      </c>
      <c r="L8" s="25" t="n">
        <f aca="false">IFERROR(J8-K8,0)</f>
        <v>0</v>
      </c>
      <c r="M8" s="51" t="str">
        <f aca="false">IFERROR(IF($A8="","",IF(L8=0,"✓",IF(L8&gt;0,"⚠","↑"))),"")</f>
        <v/>
      </c>
      <c r="N8" s="46" t="n">
        <f aca="false">IFERROR(SUM(B8,F8,J8),0)</f>
        <v>0</v>
      </c>
      <c r="O8" s="47" t="n">
        <f aca="false">IFERROR(SUM(C8,G8,K8),0)</f>
        <v>0</v>
      </c>
      <c r="P8" s="48" t="n">
        <f aca="false">IFERROR(N8-O8,0)</f>
        <v>0</v>
      </c>
      <c r="Q8" s="52" t="str">
        <f aca="false">IFERROR(IF($A8="","",IF(P8=0,"✓ מאויש",IF(P8&gt;0,"⚠ חוסר","↑ עודף"))),"")</f>
        <v/>
      </c>
    </row>
    <row r="9" customFormat="false" ht="15" hidden="false" customHeight="true" outlineLevel="0" collapsed="false">
      <c r="A9" s="42" t="str">
        <f aca="false">IFERROR(INDEX(T_Depts[מחלקה],3),"")</f>
        <v/>
      </c>
      <c r="B9" s="43" t="n">
        <f aca="false">IFERROR(SUMPRODUCT((T_Standards[מחלקה]=$A9)*(T_Standards[משמרת]="בוקר")*T_Standards[תקן]),0)</f>
        <v>0</v>
      </c>
      <c r="C9" s="44" t="n">
        <f aca="false">IFERROR(COUNTIFS(T_Assign[תאריך],$B$3,T_Assign[משמרת],"בוקר",T_Assign[מחלקה],$A9),0)</f>
        <v>0</v>
      </c>
      <c r="D9" s="11" t="n">
        <f aca="false">IFERROR(B9-C9,0)</f>
        <v>0</v>
      </c>
      <c r="E9" s="45" t="str">
        <f aca="false">IFERROR(IF($A9="","",IF(D9=0,"✓",IF(D9&gt;0,"⚠","↑"))),"")</f>
        <v/>
      </c>
      <c r="F9" s="43" t="n">
        <f aca="false">IFERROR(SUMPRODUCT((T_Standards[מחלקה]=$A9)*(T_Standards[משמרת]="אמצע")*T_Standards[תקן]),0)</f>
        <v>0</v>
      </c>
      <c r="G9" s="44" t="n">
        <f aca="false">IFERROR(COUNTIFS(T_Assign[תאריך],$B$3,T_Assign[משמרת],"אמצע",T_Assign[מחלקה],$A9),0)</f>
        <v>0</v>
      </c>
      <c r="H9" s="11" t="n">
        <f aca="false">IFERROR(F9-G9,0)</f>
        <v>0</v>
      </c>
      <c r="I9" s="45" t="str">
        <f aca="false">IFERROR(IF($A9="","",IF(H9=0,"✓",IF(H9&gt;0,"⚠","↑"))),"")</f>
        <v/>
      </c>
      <c r="J9" s="43" t="n">
        <f aca="false">IFERROR(SUMPRODUCT((T_Standards[מחלקה]=$A9)*(T_Standards[משמרת]="ערב")*T_Standards[תקן]),0)</f>
        <v>0</v>
      </c>
      <c r="K9" s="44" t="n">
        <f aca="false">IFERROR(COUNTIFS(T_Assign[תאריך],$B$3,T_Assign[משמרת],"ערב",T_Assign[מחלקה],$A9),0)</f>
        <v>0</v>
      </c>
      <c r="L9" s="11" t="n">
        <f aca="false">IFERROR(J9-K9,0)</f>
        <v>0</v>
      </c>
      <c r="M9" s="45" t="str">
        <f aca="false">IFERROR(IF($A9="","",IF(L9=0,"✓",IF(L9&gt;0,"⚠","↑"))),"")</f>
        <v/>
      </c>
      <c r="N9" s="46" t="n">
        <f aca="false">IFERROR(SUM(B9,F9,J9),0)</f>
        <v>0</v>
      </c>
      <c r="O9" s="47" t="n">
        <f aca="false">IFERROR(SUM(C9,G9,K9),0)</f>
        <v>0</v>
      </c>
      <c r="P9" s="48" t="n">
        <f aca="false">IFERROR(N9-O9,0)</f>
        <v>0</v>
      </c>
      <c r="Q9" s="49" t="str">
        <f aca="false">IFERROR(IF($A9="","",IF(P9=0,"✓ מאויש",IF(P9&gt;0,"⚠ חוסר","↑ עודף"))),"")</f>
        <v/>
      </c>
    </row>
    <row r="10" customFormat="false" ht="15" hidden="false" customHeight="true" outlineLevel="0" collapsed="false">
      <c r="A10" s="42" t="str">
        <f aca="false">IFERROR(INDEX(T_Depts[מחלקה],4),"")</f>
        <v/>
      </c>
      <c r="B10" s="43" t="n">
        <f aca="false">IFERROR(SUMPRODUCT((T_Standards[מחלקה]=$A10)*(T_Standards[משמרת]="בוקר")*T_Standards[תקן]),0)</f>
        <v>0</v>
      </c>
      <c r="C10" s="50" t="n">
        <f aca="false">IFERROR(COUNTIFS(T_Assign[תאריך],$B$3,T_Assign[משמרת],"בוקר",T_Assign[מחלקה],$A10),0)</f>
        <v>0</v>
      </c>
      <c r="D10" s="25" t="n">
        <f aca="false">IFERROR(B10-C10,0)</f>
        <v>0</v>
      </c>
      <c r="E10" s="51" t="str">
        <f aca="false">IFERROR(IF($A10="","",IF(D10=0,"✓",IF(D10&gt;0,"⚠","↑"))),"")</f>
        <v/>
      </c>
      <c r="F10" s="43" t="n">
        <f aca="false">IFERROR(SUMPRODUCT((T_Standards[מחלקה]=$A10)*(T_Standards[משמרת]="אמצע")*T_Standards[תקן]),0)</f>
        <v>0</v>
      </c>
      <c r="G10" s="50" t="n">
        <f aca="false">IFERROR(COUNTIFS(T_Assign[תאריך],$B$3,T_Assign[משמרת],"אמצע",T_Assign[מחלקה],$A10),0)</f>
        <v>0</v>
      </c>
      <c r="H10" s="25" t="n">
        <f aca="false">IFERROR(F10-G10,0)</f>
        <v>0</v>
      </c>
      <c r="I10" s="51" t="str">
        <f aca="false">IFERROR(IF($A10="","",IF(H10=0,"✓",IF(H10&gt;0,"⚠","↑"))),"")</f>
        <v/>
      </c>
      <c r="J10" s="43" t="n">
        <f aca="false">IFERROR(SUMPRODUCT((T_Standards[מחלקה]=$A10)*(T_Standards[משמרת]="ערב")*T_Standards[תקן]),0)</f>
        <v>0</v>
      </c>
      <c r="K10" s="50" t="n">
        <f aca="false">IFERROR(COUNTIFS(T_Assign[תאריך],$B$3,T_Assign[משמרת],"ערב",T_Assign[מחלקה],$A10),0)</f>
        <v>0</v>
      </c>
      <c r="L10" s="25" t="n">
        <f aca="false">IFERROR(J10-K10,0)</f>
        <v>0</v>
      </c>
      <c r="M10" s="51" t="str">
        <f aca="false">IFERROR(IF($A10="","",IF(L10=0,"✓",IF(L10&gt;0,"⚠","↑"))),"")</f>
        <v/>
      </c>
      <c r="N10" s="46" t="n">
        <f aca="false">IFERROR(SUM(B10,F10,J10),0)</f>
        <v>0</v>
      </c>
      <c r="O10" s="47" t="n">
        <f aca="false">IFERROR(SUM(C10,G10,K10),0)</f>
        <v>0</v>
      </c>
      <c r="P10" s="48" t="n">
        <f aca="false">IFERROR(N10-O10,0)</f>
        <v>0</v>
      </c>
      <c r="Q10" s="52" t="str">
        <f aca="false">IFERROR(IF($A10="","",IF(P10=0,"✓ מאויש",IF(P10&gt;0,"⚠ חוסר","↑ עודף"))),"")</f>
        <v/>
      </c>
    </row>
    <row r="11" customFormat="false" ht="15" hidden="false" customHeight="true" outlineLevel="0" collapsed="false">
      <c r="A11" s="42" t="str">
        <f aca="false">IFERROR(INDEX(T_Depts[מחלקה],5),"")</f>
        <v/>
      </c>
      <c r="B11" s="43" t="n">
        <f aca="false">IFERROR(SUMPRODUCT((T_Standards[מחלקה]=$A11)*(T_Standards[משמרת]="בוקר")*T_Standards[תקן]),0)</f>
        <v>0</v>
      </c>
      <c r="C11" s="44" t="n">
        <f aca="false">IFERROR(COUNTIFS(T_Assign[תאריך],$B$3,T_Assign[משמרת],"בוקר",T_Assign[מחלקה],$A11),0)</f>
        <v>0</v>
      </c>
      <c r="D11" s="11" t="n">
        <f aca="false">IFERROR(B11-C11,0)</f>
        <v>0</v>
      </c>
      <c r="E11" s="45" t="str">
        <f aca="false">IFERROR(IF($A11="","",IF(D11=0,"✓",IF(D11&gt;0,"⚠","↑"))),"")</f>
        <v/>
      </c>
      <c r="F11" s="43" t="n">
        <f aca="false">IFERROR(SUMPRODUCT((T_Standards[מחלקה]=$A11)*(T_Standards[משמרת]="אמצע")*T_Standards[תקן]),0)</f>
        <v>0</v>
      </c>
      <c r="G11" s="44" t="n">
        <f aca="false">IFERROR(COUNTIFS(T_Assign[תאריך],$B$3,T_Assign[משמרת],"אמצע",T_Assign[מחלקה],$A11),0)</f>
        <v>0</v>
      </c>
      <c r="H11" s="11" t="n">
        <f aca="false">IFERROR(F11-G11,0)</f>
        <v>0</v>
      </c>
      <c r="I11" s="45" t="str">
        <f aca="false">IFERROR(IF($A11="","",IF(H11=0,"✓",IF(H11&gt;0,"⚠","↑"))),"")</f>
        <v/>
      </c>
      <c r="J11" s="43" t="n">
        <f aca="false">IFERROR(SUMPRODUCT((T_Standards[מחלקה]=$A11)*(T_Standards[משמרת]="ערב")*T_Standards[תקן]),0)</f>
        <v>0</v>
      </c>
      <c r="K11" s="44" t="n">
        <f aca="false">IFERROR(COUNTIFS(T_Assign[תאריך],$B$3,T_Assign[משמרת],"ערב",T_Assign[מחלקה],$A11),0)</f>
        <v>0</v>
      </c>
      <c r="L11" s="11" t="n">
        <f aca="false">IFERROR(J11-K11,0)</f>
        <v>0</v>
      </c>
      <c r="M11" s="45" t="str">
        <f aca="false">IFERROR(IF($A11="","",IF(L11=0,"✓",IF(L11&gt;0,"⚠","↑"))),"")</f>
        <v/>
      </c>
      <c r="N11" s="46" t="n">
        <f aca="false">IFERROR(SUM(B11,F11,J11),0)</f>
        <v>0</v>
      </c>
      <c r="O11" s="47" t="n">
        <f aca="false">IFERROR(SUM(C11,G11,K11),0)</f>
        <v>0</v>
      </c>
      <c r="P11" s="48" t="n">
        <f aca="false">IFERROR(N11-O11,0)</f>
        <v>0</v>
      </c>
      <c r="Q11" s="49" t="str">
        <f aca="false">IFERROR(IF($A11="","",IF(P11=0,"✓ מאויש",IF(P11&gt;0,"⚠ חוסר","↑ עודף"))),"")</f>
        <v/>
      </c>
    </row>
    <row r="12" customFormat="false" ht="15" hidden="false" customHeight="true" outlineLevel="0" collapsed="false">
      <c r="A12" s="42" t="str">
        <f aca="false">IFERROR(INDEX(T_Depts[מחלקה],6),"")</f>
        <v/>
      </c>
      <c r="B12" s="43" t="n">
        <f aca="false">IFERROR(SUMPRODUCT((T_Standards[מחלקה]=$A12)*(T_Standards[משמרת]="בוקר")*T_Standards[תקן]),0)</f>
        <v>0</v>
      </c>
      <c r="C12" s="50" t="n">
        <f aca="false">IFERROR(COUNTIFS(T_Assign[תאריך],$B$3,T_Assign[משמרת],"בוקר",T_Assign[מחלקה],$A12),0)</f>
        <v>0</v>
      </c>
      <c r="D12" s="25" t="n">
        <f aca="false">IFERROR(B12-C12,0)</f>
        <v>0</v>
      </c>
      <c r="E12" s="51" t="str">
        <f aca="false">IFERROR(IF($A12="","",IF(D12=0,"✓",IF(D12&gt;0,"⚠","↑"))),"")</f>
        <v/>
      </c>
      <c r="F12" s="43" t="n">
        <f aca="false">IFERROR(SUMPRODUCT((T_Standards[מחלקה]=$A12)*(T_Standards[משמרת]="אמצע")*T_Standards[תקן]),0)</f>
        <v>0</v>
      </c>
      <c r="G12" s="50" t="n">
        <f aca="false">IFERROR(COUNTIFS(T_Assign[תאריך],$B$3,T_Assign[משמרת],"אמצע",T_Assign[מחלקה],$A12),0)</f>
        <v>0</v>
      </c>
      <c r="H12" s="25" t="n">
        <f aca="false">IFERROR(F12-G12,0)</f>
        <v>0</v>
      </c>
      <c r="I12" s="51" t="str">
        <f aca="false">IFERROR(IF($A12="","",IF(H12=0,"✓",IF(H12&gt;0,"⚠","↑"))),"")</f>
        <v/>
      </c>
      <c r="J12" s="43" t="n">
        <f aca="false">IFERROR(SUMPRODUCT((T_Standards[מחלקה]=$A12)*(T_Standards[משמרת]="ערב")*T_Standards[תקן]),0)</f>
        <v>0</v>
      </c>
      <c r="K12" s="50" t="n">
        <f aca="false">IFERROR(COUNTIFS(T_Assign[תאריך],$B$3,T_Assign[משמרת],"ערב",T_Assign[מחלקה],$A12),0)</f>
        <v>0</v>
      </c>
      <c r="L12" s="25" t="n">
        <f aca="false">IFERROR(J12-K12,0)</f>
        <v>0</v>
      </c>
      <c r="M12" s="51" t="str">
        <f aca="false">IFERROR(IF($A12="","",IF(L12=0,"✓",IF(L12&gt;0,"⚠","↑"))),"")</f>
        <v/>
      </c>
      <c r="N12" s="46" t="n">
        <f aca="false">IFERROR(SUM(B12,F12,J12),0)</f>
        <v>0</v>
      </c>
      <c r="O12" s="47" t="n">
        <f aca="false">IFERROR(SUM(C12,G12,K12),0)</f>
        <v>0</v>
      </c>
      <c r="P12" s="48" t="n">
        <f aca="false">IFERROR(N12-O12,0)</f>
        <v>0</v>
      </c>
      <c r="Q12" s="52" t="str">
        <f aca="false">IFERROR(IF($A12="","",IF(P12=0,"✓ מאויש",IF(P12&gt;0,"⚠ חוסר","↑ עודף"))),"")</f>
        <v/>
      </c>
    </row>
    <row r="13" customFormat="false" ht="15" hidden="false" customHeight="true" outlineLevel="0" collapsed="false">
      <c r="A13" s="42" t="str">
        <f aca="false">IFERROR(INDEX(T_Depts[מחלקה],7),"")</f>
        <v/>
      </c>
      <c r="B13" s="43" t="n">
        <f aca="false">IFERROR(SUMPRODUCT((T_Standards[מחלקה]=$A13)*(T_Standards[משמרת]="בוקר")*T_Standards[תקן]),0)</f>
        <v>0</v>
      </c>
      <c r="C13" s="44" t="n">
        <f aca="false">IFERROR(COUNTIFS(T_Assign[תאריך],$B$3,T_Assign[משמרת],"בוקר",T_Assign[מחלקה],$A13),0)</f>
        <v>0</v>
      </c>
      <c r="D13" s="11" t="n">
        <f aca="false">IFERROR(B13-C13,0)</f>
        <v>0</v>
      </c>
      <c r="E13" s="45" t="str">
        <f aca="false">IFERROR(IF($A13="","",IF(D13=0,"✓",IF(D13&gt;0,"⚠","↑"))),"")</f>
        <v/>
      </c>
      <c r="F13" s="43" t="n">
        <f aca="false">IFERROR(SUMPRODUCT((T_Standards[מחלקה]=$A13)*(T_Standards[משמרת]="אמצע")*T_Standards[תקן]),0)</f>
        <v>0</v>
      </c>
      <c r="G13" s="44" t="n">
        <f aca="false">IFERROR(COUNTIFS(T_Assign[תאריך],$B$3,T_Assign[משמרת],"אמצע",T_Assign[מחלקה],$A13),0)</f>
        <v>0</v>
      </c>
      <c r="H13" s="11" t="n">
        <f aca="false">IFERROR(F13-G13,0)</f>
        <v>0</v>
      </c>
      <c r="I13" s="45" t="str">
        <f aca="false">IFERROR(IF($A13="","",IF(H13=0,"✓",IF(H13&gt;0,"⚠","↑"))),"")</f>
        <v/>
      </c>
      <c r="J13" s="43" t="n">
        <f aca="false">IFERROR(SUMPRODUCT((T_Standards[מחלקה]=$A13)*(T_Standards[משמרת]="ערב")*T_Standards[תקן]),0)</f>
        <v>0</v>
      </c>
      <c r="K13" s="44" t="n">
        <f aca="false">IFERROR(COUNTIFS(T_Assign[תאריך],$B$3,T_Assign[משמרת],"ערב",T_Assign[מחלקה],$A13),0)</f>
        <v>0</v>
      </c>
      <c r="L13" s="11" t="n">
        <f aca="false">IFERROR(J13-K13,0)</f>
        <v>0</v>
      </c>
      <c r="M13" s="45" t="str">
        <f aca="false">IFERROR(IF($A13="","",IF(L13=0,"✓",IF(L13&gt;0,"⚠","↑"))),"")</f>
        <v/>
      </c>
      <c r="N13" s="46" t="n">
        <f aca="false">IFERROR(SUM(B13,F13,J13),0)</f>
        <v>0</v>
      </c>
      <c r="O13" s="47" t="n">
        <f aca="false">IFERROR(SUM(C13,G13,K13),0)</f>
        <v>0</v>
      </c>
      <c r="P13" s="48" t="n">
        <f aca="false">IFERROR(N13-O13,0)</f>
        <v>0</v>
      </c>
      <c r="Q13" s="49" t="str">
        <f aca="false">IFERROR(IF($A13="","",IF(P13=0,"✓ מאויש",IF(P13&gt;0,"⚠ חוסר","↑ עודף"))),"")</f>
        <v/>
      </c>
    </row>
    <row r="14" customFormat="false" ht="15" hidden="false" customHeight="true" outlineLevel="0" collapsed="false">
      <c r="A14" s="42" t="str">
        <f aca="false">IFERROR(INDEX(T_Depts[מחלקה],8),"")</f>
        <v/>
      </c>
      <c r="B14" s="43" t="n">
        <f aca="false">IFERROR(SUMPRODUCT((T_Standards[מחלקה]=$A14)*(T_Standards[משמרת]="בוקר")*T_Standards[תקן]),0)</f>
        <v>0</v>
      </c>
      <c r="C14" s="50" t="n">
        <f aca="false">IFERROR(COUNTIFS(T_Assign[תאריך],$B$3,T_Assign[משמרת],"בוקר",T_Assign[מחלקה],$A14),0)</f>
        <v>0</v>
      </c>
      <c r="D14" s="25" t="n">
        <f aca="false">IFERROR(B14-C14,0)</f>
        <v>0</v>
      </c>
      <c r="E14" s="51" t="str">
        <f aca="false">IFERROR(IF($A14="","",IF(D14=0,"✓",IF(D14&gt;0,"⚠","↑"))),"")</f>
        <v/>
      </c>
      <c r="F14" s="43" t="n">
        <f aca="false">IFERROR(SUMPRODUCT((T_Standards[מחלקה]=$A14)*(T_Standards[משמרת]="אמצע")*T_Standards[תקן]),0)</f>
        <v>0</v>
      </c>
      <c r="G14" s="50" t="n">
        <f aca="false">IFERROR(COUNTIFS(T_Assign[תאריך],$B$3,T_Assign[משמרת],"אמצע",T_Assign[מחלקה],$A14),0)</f>
        <v>0</v>
      </c>
      <c r="H14" s="25" t="n">
        <f aca="false">IFERROR(F14-G14,0)</f>
        <v>0</v>
      </c>
      <c r="I14" s="51" t="str">
        <f aca="false">IFERROR(IF($A14="","",IF(H14=0,"✓",IF(H14&gt;0,"⚠","↑"))),"")</f>
        <v/>
      </c>
      <c r="J14" s="43" t="n">
        <f aca="false">IFERROR(SUMPRODUCT((T_Standards[מחלקה]=$A14)*(T_Standards[משמרת]="ערב")*T_Standards[תקן]),0)</f>
        <v>0</v>
      </c>
      <c r="K14" s="50" t="n">
        <f aca="false">IFERROR(COUNTIFS(T_Assign[תאריך],$B$3,T_Assign[משמרת],"ערב",T_Assign[מחלקה],$A14),0)</f>
        <v>0</v>
      </c>
      <c r="L14" s="25" t="n">
        <f aca="false">IFERROR(J14-K14,0)</f>
        <v>0</v>
      </c>
      <c r="M14" s="51" t="str">
        <f aca="false">IFERROR(IF($A14="","",IF(L14=0,"✓",IF(L14&gt;0,"⚠","↑"))),"")</f>
        <v/>
      </c>
      <c r="N14" s="46" t="n">
        <f aca="false">IFERROR(SUM(B14,F14,J14),0)</f>
        <v>0</v>
      </c>
      <c r="O14" s="47" t="n">
        <f aca="false">IFERROR(SUM(C14,G14,K14),0)</f>
        <v>0</v>
      </c>
      <c r="P14" s="48" t="n">
        <f aca="false">IFERROR(N14-O14,0)</f>
        <v>0</v>
      </c>
      <c r="Q14" s="52" t="str">
        <f aca="false">IFERROR(IF($A14="","",IF(P14=0,"✓ מאויש",IF(P14&gt;0,"⚠ חוסר","↑ עודף"))),"")</f>
        <v/>
      </c>
    </row>
    <row r="15" customFormat="false" ht="15" hidden="false" customHeight="true" outlineLevel="0" collapsed="false">
      <c r="A15" s="42" t="str">
        <f aca="false">IFERROR(INDEX(T_Depts[מחלקה],9),"")</f>
        <v/>
      </c>
      <c r="B15" s="43" t="n">
        <f aca="false">IFERROR(SUMPRODUCT((T_Standards[מחלקה]=$A15)*(T_Standards[משמרת]="בוקר")*T_Standards[תקן]),0)</f>
        <v>0</v>
      </c>
      <c r="C15" s="44" t="n">
        <f aca="false">IFERROR(COUNTIFS(T_Assign[תאריך],$B$3,T_Assign[משמרת],"בוקר",T_Assign[מחלקה],$A15),0)</f>
        <v>0</v>
      </c>
      <c r="D15" s="11" t="n">
        <f aca="false">IFERROR(B15-C15,0)</f>
        <v>0</v>
      </c>
      <c r="E15" s="45" t="str">
        <f aca="false">IFERROR(IF($A15="","",IF(D15=0,"✓",IF(D15&gt;0,"⚠","↑"))),"")</f>
        <v/>
      </c>
      <c r="F15" s="43" t="n">
        <f aca="false">IFERROR(SUMPRODUCT((T_Standards[מחלקה]=$A15)*(T_Standards[משמרת]="אמצע")*T_Standards[תקן]),0)</f>
        <v>0</v>
      </c>
      <c r="G15" s="44" t="n">
        <f aca="false">IFERROR(COUNTIFS(T_Assign[תאריך],$B$3,T_Assign[משמרת],"אמצע",T_Assign[מחלקה],$A15),0)</f>
        <v>0</v>
      </c>
      <c r="H15" s="11" t="n">
        <f aca="false">IFERROR(F15-G15,0)</f>
        <v>0</v>
      </c>
      <c r="I15" s="45" t="str">
        <f aca="false">IFERROR(IF($A15="","",IF(H15=0,"✓",IF(H15&gt;0,"⚠","↑"))),"")</f>
        <v/>
      </c>
      <c r="J15" s="43" t="n">
        <f aca="false">IFERROR(SUMPRODUCT((T_Standards[מחלקה]=$A15)*(T_Standards[משמרת]="ערב")*T_Standards[תקן]),0)</f>
        <v>0</v>
      </c>
      <c r="K15" s="44" t="n">
        <f aca="false">IFERROR(COUNTIFS(T_Assign[תאריך],$B$3,T_Assign[משמרת],"ערב",T_Assign[מחלקה],$A15),0)</f>
        <v>0</v>
      </c>
      <c r="L15" s="11" t="n">
        <f aca="false">IFERROR(J15-K15,0)</f>
        <v>0</v>
      </c>
      <c r="M15" s="45" t="str">
        <f aca="false">IFERROR(IF($A15="","",IF(L15=0,"✓",IF(L15&gt;0,"⚠","↑"))),"")</f>
        <v/>
      </c>
      <c r="N15" s="46" t="n">
        <f aca="false">IFERROR(SUM(B15,F15,J15),0)</f>
        <v>0</v>
      </c>
      <c r="O15" s="47" t="n">
        <f aca="false">IFERROR(SUM(C15,G15,K15),0)</f>
        <v>0</v>
      </c>
      <c r="P15" s="48" t="n">
        <f aca="false">IFERROR(N15-O15,0)</f>
        <v>0</v>
      </c>
      <c r="Q15" s="49" t="str">
        <f aca="false">IFERROR(IF($A15="","",IF(P15=0,"✓ מאויש",IF(P15&gt;0,"⚠ חוסר","↑ עודף"))),"")</f>
        <v/>
      </c>
    </row>
    <row r="16" customFormat="false" ht="15" hidden="false" customHeight="true" outlineLevel="0" collapsed="false">
      <c r="A16" s="42" t="str">
        <f aca="false">IFERROR(INDEX(T_Depts[מחלקה],10),"")</f>
        <v/>
      </c>
      <c r="B16" s="43" t="n">
        <f aca="false">IFERROR(SUMPRODUCT((T_Standards[מחלקה]=$A16)*(T_Standards[משמרת]="בוקר")*T_Standards[תקן]),0)</f>
        <v>0</v>
      </c>
      <c r="C16" s="50" t="n">
        <f aca="false">IFERROR(COUNTIFS(T_Assign[תאריך],$B$3,T_Assign[משמרת],"בוקר",T_Assign[מחלקה],$A16),0)</f>
        <v>0</v>
      </c>
      <c r="D16" s="25" t="n">
        <f aca="false">IFERROR(B16-C16,0)</f>
        <v>0</v>
      </c>
      <c r="E16" s="51" t="str">
        <f aca="false">IFERROR(IF($A16="","",IF(D16=0,"✓",IF(D16&gt;0,"⚠","↑"))),"")</f>
        <v/>
      </c>
      <c r="F16" s="43" t="n">
        <f aca="false">IFERROR(SUMPRODUCT((T_Standards[מחלקה]=$A16)*(T_Standards[משמרת]="אמצע")*T_Standards[תקן]),0)</f>
        <v>0</v>
      </c>
      <c r="G16" s="50" t="n">
        <f aca="false">IFERROR(COUNTIFS(T_Assign[תאריך],$B$3,T_Assign[משמרת],"אמצע",T_Assign[מחלקה],$A16),0)</f>
        <v>0</v>
      </c>
      <c r="H16" s="25" t="n">
        <f aca="false">IFERROR(F16-G16,0)</f>
        <v>0</v>
      </c>
      <c r="I16" s="51" t="str">
        <f aca="false">IFERROR(IF($A16="","",IF(H16=0,"✓",IF(H16&gt;0,"⚠","↑"))),"")</f>
        <v/>
      </c>
      <c r="J16" s="43" t="n">
        <f aca="false">IFERROR(SUMPRODUCT((T_Standards[מחלקה]=$A16)*(T_Standards[משמרת]="ערב")*T_Standards[תקן]),0)</f>
        <v>0</v>
      </c>
      <c r="K16" s="50" t="n">
        <f aca="false">IFERROR(COUNTIFS(T_Assign[תאריך],$B$3,T_Assign[משמרת],"ערב",T_Assign[מחלקה],$A16),0)</f>
        <v>0</v>
      </c>
      <c r="L16" s="25" t="n">
        <f aca="false">IFERROR(J16-K16,0)</f>
        <v>0</v>
      </c>
      <c r="M16" s="51" t="str">
        <f aca="false">IFERROR(IF($A16="","",IF(L16=0,"✓",IF(L16&gt;0,"⚠","↑"))),"")</f>
        <v/>
      </c>
      <c r="N16" s="46" t="n">
        <f aca="false">IFERROR(SUM(B16,F16,J16),0)</f>
        <v>0</v>
      </c>
      <c r="O16" s="47" t="n">
        <f aca="false">IFERROR(SUM(C16,G16,K16),0)</f>
        <v>0</v>
      </c>
      <c r="P16" s="48" t="n">
        <f aca="false">IFERROR(N16-O16,0)</f>
        <v>0</v>
      </c>
      <c r="Q16" s="52" t="str">
        <f aca="false">IFERROR(IF($A16="","",IF(P16=0,"✓ מאויש",IF(P16&gt;0,"⚠ חוסר","↑ עודף"))),"")</f>
        <v/>
      </c>
    </row>
    <row r="17" customFormat="false" ht="15" hidden="false" customHeight="true" outlineLevel="0" collapsed="false">
      <c r="A17" s="42" t="str">
        <f aca="false">IFERROR(INDEX(T_Depts[מחלקה],11),"")</f>
        <v/>
      </c>
      <c r="B17" s="43" t="n">
        <f aca="false">IFERROR(SUMPRODUCT((T_Standards[מחלקה]=$A17)*(T_Standards[משמרת]="בוקר")*T_Standards[תקן]),0)</f>
        <v>0</v>
      </c>
      <c r="C17" s="44" t="n">
        <f aca="false">IFERROR(COUNTIFS(T_Assign[תאריך],$B$3,T_Assign[משמרת],"בוקר",T_Assign[מחלקה],$A17),0)</f>
        <v>0</v>
      </c>
      <c r="D17" s="11" t="n">
        <f aca="false">IFERROR(B17-C17,0)</f>
        <v>0</v>
      </c>
      <c r="E17" s="45" t="str">
        <f aca="false">IFERROR(IF($A17="","",IF(D17=0,"✓",IF(D17&gt;0,"⚠","↑"))),"")</f>
        <v/>
      </c>
      <c r="F17" s="43" t="n">
        <f aca="false">IFERROR(SUMPRODUCT((T_Standards[מחלקה]=$A17)*(T_Standards[משמרת]="אמצע")*T_Standards[תקן]),0)</f>
        <v>0</v>
      </c>
      <c r="G17" s="44" t="n">
        <f aca="false">IFERROR(COUNTIFS(T_Assign[תאריך],$B$3,T_Assign[משמרת],"אמצע",T_Assign[מחלקה],$A17),0)</f>
        <v>0</v>
      </c>
      <c r="H17" s="11" t="n">
        <f aca="false">IFERROR(F17-G17,0)</f>
        <v>0</v>
      </c>
      <c r="I17" s="45" t="str">
        <f aca="false">IFERROR(IF($A17="","",IF(H17=0,"✓",IF(H17&gt;0,"⚠","↑"))),"")</f>
        <v/>
      </c>
      <c r="J17" s="43" t="n">
        <f aca="false">IFERROR(SUMPRODUCT((T_Standards[מחלקה]=$A17)*(T_Standards[משמרת]="ערב")*T_Standards[תקן]),0)</f>
        <v>0</v>
      </c>
      <c r="K17" s="44" t="n">
        <f aca="false">IFERROR(COUNTIFS(T_Assign[תאריך],$B$3,T_Assign[משמרת],"ערב",T_Assign[מחלקה],$A17),0)</f>
        <v>0</v>
      </c>
      <c r="L17" s="11" t="n">
        <f aca="false">IFERROR(J17-K17,0)</f>
        <v>0</v>
      </c>
      <c r="M17" s="45" t="str">
        <f aca="false">IFERROR(IF($A17="","",IF(L17=0,"✓",IF(L17&gt;0,"⚠","↑"))),"")</f>
        <v/>
      </c>
      <c r="N17" s="46" t="n">
        <f aca="false">IFERROR(SUM(B17,F17,J17),0)</f>
        <v>0</v>
      </c>
      <c r="O17" s="47" t="n">
        <f aca="false">IFERROR(SUM(C17,G17,K17),0)</f>
        <v>0</v>
      </c>
      <c r="P17" s="48" t="n">
        <f aca="false">IFERROR(N17-O17,0)</f>
        <v>0</v>
      </c>
      <c r="Q17" s="49" t="str">
        <f aca="false">IFERROR(IF($A17="","",IF(P17=0,"✓ מאויש",IF(P17&gt;0,"⚠ חוסר","↑ עודף"))),"")</f>
        <v/>
      </c>
    </row>
    <row r="18" customFormat="false" ht="15" hidden="false" customHeight="true" outlineLevel="0" collapsed="false">
      <c r="A18" s="42" t="str">
        <f aca="false">IFERROR(INDEX(T_Depts[מחלקה],12),"")</f>
        <v/>
      </c>
      <c r="B18" s="43" t="n">
        <f aca="false">IFERROR(SUMPRODUCT((T_Standards[מחלקה]=$A18)*(T_Standards[משמרת]="בוקר")*T_Standards[תקן]),0)</f>
        <v>0</v>
      </c>
      <c r="C18" s="50" t="n">
        <f aca="false">IFERROR(COUNTIFS(T_Assign[תאריך],$B$3,T_Assign[משמרת],"בוקר",T_Assign[מחלקה],$A18),0)</f>
        <v>0</v>
      </c>
      <c r="D18" s="25" t="n">
        <f aca="false">IFERROR(B18-C18,0)</f>
        <v>0</v>
      </c>
      <c r="E18" s="51" t="str">
        <f aca="false">IFERROR(IF($A18="","",IF(D18=0,"✓",IF(D18&gt;0,"⚠","↑"))),"")</f>
        <v/>
      </c>
      <c r="F18" s="43" t="n">
        <f aca="false">IFERROR(SUMPRODUCT((T_Standards[מחלקה]=$A18)*(T_Standards[משמרת]="אמצע")*T_Standards[תקן]),0)</f>
        <v>0</v>
      </c>
      <c r="G18" s="50" t="n">
        <f aca="false">IFERROR(COUNTIFS(T_Assign[תאריך],$B$3,T_Assign[משמרת],"אמצע",T_Assign[מחלקה],$A18),0)</f>
        <v>0</v>
      </c>
      <c r="H18" s="25" t="n">
        <f aca="false">IFERROR(F18-G18,0)</f>
        <v>0</v>
      </c>
      <c r="I18" s="51" t="str">
        <f aca="false">IFERROR(IF($A18="","",IF(H18=0,"✓",IF(H18&gt;0,"⚠","↑"))),"")</f>
        <v/>
      </c>
      <c r="J18" s="43" t="n">
        <f aca="false">IFERROR(SUMPRODUCT((T_Standards[מחלקה]=$A18)*(T_Standards[משמרת]="ערב")*T_Standards[תקן]),0)</f>
        <v>0</v>
      </c>
      <c r="K18" s="50" t="n">
        <f aca="false">IFERROR(COUNTIFS(T_Assign[תאריך],$B$3,T_Assign[משמרת],"ערב",T_Assign[מחלקה],$A18),0)</f>
        <v>0</v>
      </c>
      <c r="L18" s="25" t="n">
        <f aca="false">IFERROR(J18-K18,0)</f>
        <v>0</v>
      </c>
      <c r="M18" s="51" t="str">
        <f aca="false">IFERROR(IF($A18="","",IF(L18=0,"✓",IF(L18&gt;0,"⚠","↑"))),"")</f>
        <v/>
      </c>
      <c r="N18" s="46" t="n">
        <f aca="false">IFERROR(SUM(B18,F18,J18),0)</f>
        <v>0</v>
      </c>
      <c r="O18" s="47" t="n">
        <f aca="false">IFERROR(SUM(C18,G18,K18),0)</f>
        <v>0</v>
      </c>
      <c r="P18" s="48" t="n">
        <f aca="false">IFERROR(N18-O18,0)</f>
        <v>0</v>
      </c>
      <c r="Q18" s="52" t="str">
        <f aca="false">IFERROR(IF($A18="","",IF(P18=0,"✓ מאויש",IF(P18&gt;0,"⚠ חוסר","↑ עודף"))),"")</f>
        <v/>
      </c>
    </row>
    <row r="19" customFormat="false" ht="15" hidden="false" customHeight="true" outlineLevel="0" collapsed="false">
      <c r="A19" s="42" t="str">
        <f aca="false">IFERROR(INDEX(T_Depts[מחלקה],13),"")</f>
        <v/>
      </c>
      <c r="B19" s="43" t="n">
        <f aca="false">IFERROR(SUMPRODUCT((T_Standards[מחלקה]=$A19)*(T_Standards[משמרת]="בוקר")*T_Standards[תקן]),0)</f>
        <v>0</v>
      </c>
      <c r="C19" s="44" t="n">
        <f aca="false">IFERROR(COUNTIFS(T_Assign[תאריך],$B$3,T_Assign[משמרת],"בוקר",T_Assign[מחלקה],$A19),0)</f>
        <v>0</v>
      </c>
      <c r="D19" s="11" t="n">
        <f aca="false">IFERROR(B19-C19,0)</f>
        <v>0</v>
      </c>
      <c r="E19" s="45" t="str">
        <f aca="false">IFERROR(IF($A19="","",IF(D19=0,"✓",IF(D19&gt;0,"⚠","↑"))),"")</f>
        <v/>
      </c>
      <c r="F19" s="43" t="n">
        <f aca="false">IFERROR(SUMPRODUCT((T_Standards[מחלקה]=$A19)*(T_Standards[משמרת]="אמצע")*T_Standards[תקן]),0)</f>
        <v>0</v>
      </c>
      <c r="G19" s="44" t="n">
        <f aca="false">IFERROR(COUNTIFS(T_Assign[תאריך],$B$3,T_Assign[משמרת],"אמצע",T_Assign[מחלקה],$A19),0)</f>
        <v>0</v>
      </c>
      <c r="H19" s="11" t="n">
        <f aca="false">IFERROR(F19-G19,0)</f>
        <v>0</v>
      </c>
      <c r="I19" s="45" t="str">
        <f aca="false">IFERROR(IF($A19="","",IF(H19=0,"✓",IF(H19&gt;0,"⚠","↑"))),"")</f>
        <v/>
      </c>
      <c r="J19" s="43" t="n">
        <f aca="false">IFERROR(SUMPRODUCT((T_Standards[מחלקה]=$A19)*(T_Standards[משמרת]="ערב")*T_Standards[תקן]),0)</f>
        <v>0</v>
      </c>
      <c r="K19" s="44" t="n">
        <f aca="false">IFERROR(COUNTIFS(T_Assign[תאריך],$B$3,T_Assign[משמרת],"ערב",T_Assign[מחלקה],$A19),0)</f>
        <v>0</v>
      </c>
      <c r="L19" s="11" t="n">
        <f aca="false">IFERROR(J19-K19,0)</f>
        <v>0</v>
      </c>
      <c r="M19" s="45" t="str">
        <f aca="false">IFERROR(IF($A19="","",IF(L19=0,"✓",IF(L19&gt;0,"⚠","↑"))),"")</f>
        <v/>
      </c>
      <c r="N19" s="46" t="n">
        <f aca="false">IFERROR(SUM(B19,F19,J19),0)</f>
        <v>0</v>
      </c>
      <c r="O19" s="47" t="n">
        <f aca="false">IFERROR(SUM(C19,G19,K19),0)</f>
        <v>0</v>
      </c>
      <c r="P19" s="48" t="n">
        <f aca="false">IFERROR(N19-O19,0)</f>
        <v>0</v>
      </c>
      <c r="Q19" s="49" t="str">
        <f aca="false">IFERROR(IF($A19="","",IF(P19=0,"✓ מאויש",IF(P19&gt;0,"⚠ חוסר","↑ עודף"))),"")</f>
        <v/>
      </c>
    </row>
    <row r="20" customFormat="false" ht="15" hidden="false" customHeight="true" outlineLevel="0" collapsed="false">
      <c r="A20" s="42" t="str">
        <f aca="false">IFERROR(INDEX(T_Depts[מחלקה],14),"")</f>
        <v/>
      </c>
      <c r="B20" s="43" t="n">
        <f aca="false">IFERROR(SUMPRODUCT((T_Standards[מחלקה]=$A20)*(T_Standards[משמרת]="בוקר")*T_Standards[תקן]),0)</f>
        <v>0</v>
      </c>
      <c r="C20" s="50" t="n">
        <f aca="false">IFERROR(COUNTIFS(T_Assign[תאריך],$B$3,T_Assign[משמרת],"בוקר",T_Assign[מחלקה],$A20),0)</f>
        <v>0</v>
      </c>
      <c r="D20" s="25" t="n">
        <f aca="false">IFERROR(B20-C20,0)</f>
        <v>0</v>
      </c>
      <c r="E20" s="51" t="str">
        <f aca="false">IFERROR(IF($A20="","",IF(D20=0,"✓",IF(D20&gt;0,"⚠","↑"))),"")</f>
        <v/>
      </c>
      <c r="F20" s="43" t="n">
        <f aca="false">IFERROR(SUMPRODUCT((T_Standards[מחלקה]=$A20)*(T_Standards[משמרת]="אמצע")*T_Standards[תקן]),0)</f>
        <v>0</v>
      </c>
      <c r="G20" s="50" t="n">
        <f aca="false">IFERROR(COUNTIFS(T_Assign[תאריך],$B$3,T_Assign[משמרת],"אמצע",T_Assign[מחלקה],$A20),0)</f>
        <v>0</v>
      </c>
      <c r="H20" s="25" t="n">
        <f aca="false">IFERROR(F20-G20,0)</f>
        <v>0</v>
      </c>
      <c r="I20" s="51" t="str">
        <f aca="false">IFERROR(IF($A20="","",IF(H20=0,"✓",IF(H20&gt;0,"⚠","↑"))),"")</f>
        <v/>
      </c>
      <c r="J20" s="43" t="n">
        <f aca="false">IFERROR(SUMPRODUCT((T_Standards[מחלקה]=$A20)*(T_Standards[משמרת]="ערב")*T_Standards[תקן]),0)</f>
        <v>0</v>
      </c>
      <c r="K20" s="50" t="n">
        <f aca="false">IFERROR(COUNTIFS(T_Assign[תאריך],$B$3,T_Assign[משמרת],"ערב",T_Assign[מחלקה],$A20),0)</f>
        <v>0</v>
      </c>
      <c r="L20" s="25" t="n">
        <f aca="false">IFERROR(J20-K20,0)</f>
        <v>0</v>
      </c>
      <c r="M20" s="51" t="str">
        <f aca="false">IFERROR(IF($A20="","",IF(L20=0,"✓",IF(L20&gt;0,"⚠","↑"))),"")</f>
        <v/>
      </c>
      <c r="N20" s="46" t="n">
        <f aca="false">IFERROR(SUM(B20,F20,J20),0)</f>
        <v>0</v>
      </c>
      <c r="O20" s="47" t="n">
        <f aca="false">IFERROR(SUM(C20,G20,K20),0)</f>
        <v>0</v>
      </c>
      <c r="P20" s="48" t="n">
        <f aca="false">IFERROR(N20-O20,0)</f>
        <v>0</v>
      </c>
      <c r="Q20" s="52" t="str">
        <f aca="false">IFERROR(IF($A20="","",IF(P20=0,"✓ מאויש",IF(P20&gt;0,"⚠ חוסר","↑ עודף"))),"")</f>
        <v/>
      </c>
    </row>
    <row r="21" customFormat="false" ht="15" hidden="false" customHeight="true" outlineLevel="0" collapsed="false">
      <c r="A21" s="42" t="str">
        <f aca="false">IFERROR(INDEX(T_Depts[מחלקה],15),"")</f>
        <v/>
      </c>
      <c r="B21" s="43" t="n">
        <f aca="false">IFERROR(SUMPRODUCT((T_Standards[מחלקה]=$A21)*(T_Standards[משמרת]="בוקר")*T_Standards[תקן]),0)</f>
        <v>0</v>
      </c>
      <c r="C21" s="44" t="n">
        <f aca="false">IFERROR(COUNTIFS(T_Assign[תאריך],$B$3,T_Assign[משמרת],"בוקר",T_Assign[מחלקה],$A21),0)</f>
        <v>0</v>
      </c>
      <c r="D21" s="11" t="n">
        <f aca="false">IFERROR(B21-C21,0)</f>
        <v>0</v>
      </c>
      <c r="E21" s="45" t="str">
        <f aca="false">IFERROR(IF($A21="","",IF(D21=0,"✓",IF(D21&gt;0,"⚠","↑"))),"")</f>
        <v/>
      </c>
      <c r="F21" s="43" t="n">
        <f aca="false">IFERROR(SUMPRODUCT((T_Standards[מחלקה]=$A21)*(T_Standards[משמרת]="אמצע")*T_Standards[תקן]),0)</f>
        <v>0</v>
      </c>
      <c r="G21" s="44" t="n">
        <f aca="false">IFERROR(COUNTIFS(T_Assign[תאריך],$B$3,T_Assign[משמרת],"אמצע",T_Assign[מחלקה],$A21),0)</f>
        <v>0</v>
      </c>
      <c r="H21" s="11" t="n">
        <f aca="false">IFERROR(F21-G21,0)</f>
        <v>0</v>
      </c>
      <c r="I21" s="45" t="str">
        <f aca="false">IFERROR(IF($A21="","",IF(H21=0,"✓",IF(H21&gt;0,"⚠","↑"))),"")</f>
        <v/>
      </c>
      <c r="J21" s="43" t="n">
        <f aca="false">IFERROR(SUMPRODUCT((T_Standards[מחלקה]=$A21)*(T_Standards[משמרת]="ערב")*T_Standards[תקן]),0)</f>
        <v>0</v>
      </c>
      <c r="K21" s="44" t="n">
        <f aca="false">IFERROR(COUNTIFS(T_Assign[תאריך],$B$3,T_Assign[משמרת],"ערב",T_Assign[מחלקה],$A21),0)</f>
        <v>0</v>
      </c>
      <c r="L21" s="11" t="n">
        <f aca="false">IFERROR(J21-K21,0)</f>
        <v>0</v>
      </c>
      <c r="M21" s="45" t="str">
        <f aca="false">IFERROR(IF($A21="","",IF(L21=0,"✓",IF(L21&gt;0,"⚠","↑"))),"")</f>
        <v/>
      </c>
      <c r="N21" s="46" t="n">
        <f aca="false">IFERROR(SUM(B21,F21,J21),0)</f>
        <v>0</v>
      </c>
      <c r="O21" s="47" t="n">
        <f aca="false">IFERROR(SUM(C21,G21,K21),0)</f>
        <v>0</v>
      </c>
      <c r="P21" s="48" t="n">
        <f aca="false">IFERROR(N21-O21,0)</f>
        <v>0</v>
      </c>
      <c r="Q21" s="49" t="str">
        <f aca="false">IFERROR(IF($A21="","",IF(P21=0,"✓ מאויש",IF(P21&gt;0,"⚠ חוסר","↑ עודף"))),"")</f>
        <v/>
      </c>
    </row>
    <row r="22" customFormat="false" ht="15" hidden="false" customHeight="true" outlineLevel="0" collapsed="false">
      <c r="A22" s="19" t="s">
        <v>59</v>
      </c>
      <c r="B22" s="53" t="n">
        <f aca="false">IFERROR(SUM(B7:B21),0)</f>
        <v>0</v>
      </c>
      <c r="C22" s="53" t="n">
        <f aca="false">IFERROR(SUM(C7:C21),0)</f>
        <v>0</v>
      </c>
      <c r="D22" s="53" t="n">
        <f aca="false">IFERROR(SUM(D7:D21),0)</f>
        <v>0</v>
      </c>
      <c r="E22" s="54"/>
      <c r="F22" s="53" t="n">
        <f aca="false">IFERROR(SUM(F7:F21),0)</f>
        <v>0</v>
      </c>
      <c r="G22" s="53" t="n">
        <f aca="false">IFERROR(SUM(G7:G21),0)</f>
        <v>0</v>
      </c>
      <c r="H22" s="53" t="n">
        <f aca="false">IFERROR(SUM(H7:H21),0)</f>
        <v>0</v>
      </c>
      <c r="I22" s="54"/>
      <c r="J22" s="53" t="n">
        <f aca="false">IFERROR(SUM(J7:J21),0)</f>
        <v>0</v>
      </c>
      <c r="K22" s="53" t="n">
        <f aca="false">IFERROR(SUM(K7:K21),0)</f>
        <v>0</v>
      </c>
      <c r="L22" s="53" t="n">
        <f aca="false">IFERROR(SUM(L7:L21),0)</f>
        <v>0</v>
      </c>
      <c r="M22" s="54"/>
      <c r="N22" s="53" t="n">
        <f aca="false">IFERROR(SUM(N7:N21),0)</f>
        <v>0</v>
      </c>
      <c r="O22" s="53" t="n">
        <f aca="false">IFERROR(SUM(O7:O21),0)</f>
        <v>0</v>
      </c>
      <c r="P22" s="53" t="n">
        <f aca="false">IFERROR(SUM(P7:P21),0)</f>
        <v>0</v>
      </c>
      <c r="Q22" s="54"/>
    </row>
  </sheetData>
  <mergeCells count="6">
    <mergeCell ref="A1:R1"/>
    <mergeCell ref="C3:F3"/>
    <mergeCell ref="B5:E5"/>
    <mergeCell ref="F5:I5"/>
    <mergeCell ref="J5:M5"/>
    <mergeCell ref="N5:Q5"/>
  </mergeCells>
  <conditionalFormatting sqref="E7:E21">
    <cfRule type="expression" priority="2" aboveAverage="0" equalAverage="0" bottom="0" percent="0" rank="0" text="" dxfId="11">
      <formula>E7="✓"</formula>
    </cfRule>
    <cfRule type="expression" priority="3" aboveAverage="0" equalAverage="0" bottom="0" percent="0" rank="0" text="" dxfId="12">
      <formula>ISNUMBER(SEARCH("⚠",E7))</formula>
    </cfRule>
    <cfRule type="expression" priority="4" aboveAverage="0" equalAverage="0" bottom="0" percent="0" rank="0" text="" dxfId="13">
      <formula>ISNUMBER(SEARCH("↑",E7))</formula>
    </cfRule>
  </conditionalFormatting>
  <conditionalFormatting sqref="I7:I21">
    <cfRule type="expression" priority="5" aboveAverage="0" equalAverage="0" bottom="0" percent="0" rank="0" text="" dxfId="11">
      <formula>I7="✓"</formula>
    </cfRule>
    <cfRule type="expression" priority="6" aboveAverage="0" equalAverage="0" bottom="0" percent="0" rank="0" text="" dxfId="12">
      <formula>ISNUMBER(SEARCH("⚠",I7))</formula>
    </cfRule>
    <cfRule type="expression" priority="7" aboveAverage="0" equalAverage="0" bottom="0" percent="0" rank="0" text="" dxfId="13">
      <formula>ISNUMBER(SEARCH("↑",I7))</formula>
    </cfRule>
  </conditionalFormatting>
  <conditionalFormatting sqref="M7:M21">
    <cfRule type="expression" priority="8" aboveAverage="0" equalAverage="0" bottom="0" percent="0" rank="0" text="" dxfId="11">
      <formula>M7="✓"</formula>
    </cfRule>
    <cfRule type="expression" priority="9" aboveAverage="0" equalAverage="0" bottom="0" percent="0" rank="0" text="" dxfId="12">
      <formula>ISNUMBER(SEARCH("⚠",M7))</formula>
    </cfRule>
    <cfRule type="expression" priority="10" aboveAverage="0" equalAverage="0" bottom="0" percent="0" rank="0" text="" dxfId="13">
      <formula>ISNUMBER(SEARCH("↑",M7))</formula>
    </cfRule>
  </conditionalFormatting>
  <conditionalFormatting sqref="Q7:Q21">
    <cfRule type="expression" priority="11" aboveAverage="0" equalAverage="0" bottom="0" percent="0" rank="0" text="" dxfId="11">
      <formula>Q7="✓"</formula>
    </cfRule>
    <cfRule type="expression" priority="12" aboveAverage="0" equalAverage="0" bottom="0" percent="0" rank="0" text="" dxfId="12">
      <formula>ISNUMBER(SEARCH("⚠",Q7))</formula>
    </cfRule>
    <cfRule type="expression" priority="13" aboveAverage="0" equalAverage="0" bottom="0" percent="0" rank="0" text="" dxfId="13">
      <formula>ISNUMBER(SEARCH("↑",Q7))</formula>
    </cfRule>
    <cfRule type="expression" priority="14" aboveAverage="0" equalAverage="0" bottom="0" percent="0" rank="0" text="" dxfId="11">
      <formula>$Q7="✓ מאויש"</formula>
    </cfRule>
    <cfRule type="expression" priority="15" aboveAverage="0" equalAverage="0" bottom="0" percent="0" rank="0" text="" dxfId="12">
      <formula>ISNUMBER(SEARCH("חוסר",$Q7))</formula>
    </cfRule>
    <cfRule type="expression" priority="16" aboveAverage="0" equalAverage="0" bottom="0" percent="0" rank="0" text="" dxfId="13">
      <formula>ISNUMBER(SEARCH("עודף",$Q7))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9" min="2" style="1" width="7"/>
    <col collapsed="false" customWidth="true" hidden="false" outlineLevel="0" max="32" min="30" style="1" width="10"/>
  </cols>
  <sheetData>
    <row r="1" customFormat="false" ht="31.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3" customFormat="false" ht="15" hidden="false" customHeight="true" outlineLevel="0" collapsed="false">
      <c r="A3" s="12" t="s">
        <v>61</v>
      </c>
      <c r="B3" s="55" t="n">
        <f aca="false">הגדרות!$C$3</f>
        <v>46096</v>
      </c>
      <c r="C3" s="30" t="s">
        <v>62</v>
      </c>
      <c r="D3" s="55" t="n">
        <f aca="false">הגדרות!$C$3+6</f>
        <v>46102</v>
      </c>
    </row>
    <row r="5" customFormat="false" ht="21.75" hidden="false" customHeight="true" outlineLevel="0" collapsed="false">
      <c r="A5" s="19" t="s">
        <v>34</v>
      </c>
      <c r="B5" s="21" t="s">
        <v>4</v>
      </c>
      <c r="C5" s="21"/>
      <c r="D5" s="21"/>
      <c r="E5" s="21"/>
      <c r="F5" s="12" t="s">
        <v>5</v>
      </c>
      <c r="G5" s="12"/>
      <c r="H5" s="12"/>
      <c r="I5" s="12"/>
      <c r="J5" s="9" t="s">
        <v>6</v>
      </c>
      <c r="K5" s="9"/>
      <c r="L5" s="9"/>
      <c r="M5" s="9"/>
      <c r="N5" s="22" t="s">
        <v>7</v>
      </c>
      <c r="O5" s="22"/>
      <c r="P5" s="22"/>
      <c r="Q5" s="22"/>
      <c r="R5" s="21" t="s">
        <v>8</v>
      </c>
      <c r="S5" s="21"/>
      <c r="T5" s="21"/>
      <c r="U5" s="21"/>
      <c r="V5" s="12" t="s">
        <v>9</v>
      </c>
      <c r="W5" s="12"/>
      <c r="X5" s="12"/>
      <c r="Y5" s="12"/>
      <c r="Z5" s="9" t="s">
        <v>10</v>
      </c>
      <c r="AA5" s="9"/>
      <c r="AB5" s="9"/>
      <c r="AC5" s="9"/>
      <c r="AD5" s="19" t="s">
        <v>63</v>
      </c>
      <c r="AE5" s="19"/>
      <c r="AF5" s="19"/>
    </row>
    <row r="6" customFormat="false" ht="15" hidden="false" customHeight="true" outlineLevel="0" collapsed="false">
      <c r="A6" s="56"/>
      <c r="B6" s="57" t="n">
        <f aca="false">הגדרות!$C$3+0</f>
        <v>46096</v>
      </c>
      <c r="C6" s="57"/>
      <c r="D6" s="57"/>
      <c r="E6" s="57"/>
      <c r="F6" s="57" t="n">
        <f aca="false">הגדרות!$C$3+1</f>
        <v>46097</v>
      </c>
      <c r="G6" s="57"/>
      <c r="H6" s="57"/>
      <c r="I6" s="57"/>
      <c r="J6" s="57" t="n">
        <f aca="false">הגדרות!$C$3+2</f>
        <v>46098</v>
      </c>
      <c r="K6" s="57"/>
      <c r="L6" s="57"/>
      <c r="M6" s="57"/>
      <c r="N6" s="57" t="n">
        <f aca="false">הגדרות!$C$3+3</f>
        <v>46099</v>
      </c>
      <c r="O6" s="57"/>
      <c r="P6" s="57"/>
      <c r="Q6" s="57"/>
      <c r="R6" s="57" t="n">
        <f aca="false">הגדרות!$C$3+4</f>
        <v>46100</v>
      </c>
      <c r="S6" s="57"/>
      <c r="T6" s="57"/>
      <c r="U6" s="57"/>
      <c r="V6" s="57" t="n">
        <f aca="false">הגדרות!$C$3+5</f>
        <v>46101</v>
      </c>
      <c r="W6" s="57"/>
      <c r="X6" s="57"/>
      <c r="Y6" s="57"/>
      <c r="Z6" s="57" t="n">
        <f aca="false">הגדרות!$C$3+6</f>
        <v>46102</v>
      </c>
      <c r="AA6" s="57"/>
      <c r="AB6" s="57"/>
      <c r="AC6" s="57"/>
      <c r="AD6" s="54"/>
      <c r="AE6" s="54"/>
      <c r="AF6" s="54"/>
    </row>
    <row r="7" customFormat="false" ht="18" hidden="false" customHeight="true" outlineLevel="0" collapsed="false">
      <c r="A7" s="56"/>
      <c r="B7" s="38" t="s">
        <v>12</v>
      </c>
      <c r="C7" s="39" t="s">
        <v>14</v>
      </c>
      <c r="D7" s="40" t="s">
        <v>16</v>
      </c>
      <c r="E7" s="58" t="s">
        <v>59</v>
      </c>
      <c r="F7" s="38" t="s">
        <v>12</v>
      </c>
      <c r="G7" s="39" t="s">
        <v>14</v>
      </c>
      <c r="H7" s="40" t="s">
        <v>16</v>
      </c>
      <c r="I7" s="58" t="s">
        <v>59</v>
      </c>
      <c r="J7" s="38" t="s">
        <v>12</v>
      </c>
      <c r="K7" s="39" t="s">
        <v>14</v>
      </c>
      <c r="L7" s="40" t="s">
        <v>16</v>
      </c>
      <c r="M7" s="58" t="s">
        <v>59</v>
      </c>
      <c r="N7" s="38" t="s">
        <v>12</v>
      </c>
      <c r="O7" s="39" t="s">
        <v>14</v>
      </c>
      <c r="P7" s="40" t="s">
        <v>16</v>
      </c>
      <c r="Q7" s="58" t="s">
        <v>59</v>
      </c>
      <c r="R7" s="38" t="s">
        <v>12</v>
      </c>
      <c r="S7" s="39" t="s">
        <v>14</v>
      </c>
      <c r="T7" s="40" t="s">
        <v>16</v>
      </c>
      <c r="U7" s="58" t="s">
        <v>59</v>
      </c>
      <c r="V7" s="38" t="s">
        <v>12</v>
      </c>
      <c r="W7" s="39" t="s">
        <v>14</v>
      </c>
      <c r="X7" s="40" t="s">
        <v>16</v>
      </c>
      <c r="Y7" s="58" t="s">
        <v>59</v>
      </c>
      <c r="Z7" s="38" t="s">
        <v>12</v>
      </c>
      <c r="AA7" s="39" t="s">
        <v>14</v>
      </c>
      <c r="AB7" s="40" t="s">
        <v>16</v>
      </c>
      <c r="AC7" s="58" t="s">
        <v>59</v>
      </c>
      <c r="AD7" s="58" t="s">
        <v>48</v>
      </c>
      <c r="AE7" s="58" t="s">
        <v>43</v>
      </c>
      <c r="AF7" s="58" t="s">
        <v>49</v>
      </c>
    </row>
    <row r="8" customFormat="false" ht="15" hidden="false" customHeight="true" outlineLevel="0" collapsed="false">
      <c r="A8" s="59" t="str">
        <f aca="false">IFERROR(INDEX(T_Depts[מחלקה],1),"")</f>
        <v/>
      </c>
      <c r="B8" s="34" t="n">
        <f aca="false">IFERROR(COUNTIFS(T_Assign[תאריך],B6,T_Assign[משמרת],"בוקר",T_Assign[מחלקה],$A8),0)</f>
        <v>0</v>
      </c>
      <c r="C8" s="34" t="n">
        <f aca="false">IFERROR(COUNTIFS(T_Assign[תאריך],B6,T_Assign[משמרת],"אמצע",T_Assign[מחלקה],$A8),0)</f>
        <v>0</v>
      </c>
      <c r="D8" s="34" t="n">
        <f aca="false">IFERROR(COUNTIFS(T_Assign[תאריך],B6,T_Assign[משמרת],"ערב",T_Assign[מחלקה],$A8),0)</f>
        <v>0</v>
      </c>
      <c r="E8" s="60" t="n">
        <f aca="false">IFERROR(SUM(B8:D8),0)</f>
        <v>0</v>
      </c>
      <c r="F8" s="34" t="n">
        <f aca="false">IFERROR(COUNTIFS(T_Assign[תאריך],F6,T_Assign[משמרת],"בוקר",T_Assign[מחלקה],$A8),0)</f>
        <v>0</v>
      </c>
      <c r="G8" s="34" t="n">
        <f aca="false">IFERROR(COUNTIFS(T_Assign[תאריך],F6,T_Assign[משמרת],"אמצע",T_Assign[מחלקה],$A8),0)</f>
        <v>0</v>
      </c>
      <c r="H8" s="34" t="n">
        <f aca="false">IFERROR(COUNTIFS(T_Assign[תאריך],F6,T_Assign[משמרת],"ערב",T_Assign[מחלקה],$A8),0)</f>
        <v>0</v>
      </c>
      <c r="I8" s="60" t="n">
        <f aca="false">IFERROR(SUM(F8:H8),0)</f>
        <v>0</v>
      </c>
      <c r="J8" s="34" t="n">
        <f aca="false">IFERROR(COUNTIFS(T_Assign[תאריך],J6,T_Assign[משמרת],"בוקר",T_Assign[מחלקה],$A8),0)</f>
        <v>0</v>
      </c>
      <c r="K8" s="34" t="n">
        <f aca="false">IFERROR(COUNTIFS(T_Assign[תאריך],J6,T_Assign[משמרת],"אמצע",T_Assign[מחלקה],$A8),0)</f>
        <v>0</v>
      </c>
      <c r="L8" s="34" t="n">
        <f aca="false">IFERROR(COUNTIFS(T_Assign[תאריך],J6,T_Assign[משמרת],"ערב",T_Assign[מחלקה],$A8),0)</f>
        <v>0</v>
      </c>
      <c r="M8" s="60" t="n">
        <f aca="false">IFERROR(SUM(J8:L8),0)</f>
        <v>0</v>
      </c>
      <c r="N8" s="34" t="n">
        <f aca="false">IFERROR(COUNTIFS(T_Assign[תאריך],N6,T_Assign[משמרת],"בוקר",T_Assign[מחלקה],$A8),0)</f>
        <v>0</v>
      </c>
      <c r="O8" s="34" t="n">
        <f aca="false">IFERROR(COUNTIFS(T_Assign[תאריך],N6,T_Assign[משמרת],"אמצע",T_Assign[מחלקה],$A8),0)</f>
        <v>0</v>
      </c>
      <c r="P8" s="34" t="n">
        <f aca="false">IFERROR(COUNTIFS(T_Assign[תאריך],N6,T_Assign[משמרת],"ערב",T_Assign[מחלקה],$A8),0)</f>
        <v>0</v>
      </c>
      <c r="Q8" s="60" t="n">
        <f aca="false">IFERROR(SUM(N8:P8),0)</f>
        <v>0</v>
      </c>
      <c r="R8" s="34" t="n">
        <f aca="false">IFERROR(COUNTIFS(T_Assign[תאריך],R6,T_Assign[משמרת],"בוקר",T_Assign[מחלקה],$A8),0)</f>
        <v>0</v>
      </c>
      <c r="S8" s="34" t="n">
        <f aca="false">IFERROR(COUNTIFS(T_Assign[תאריך],R6,T_Assign[משמרת],"אמצע",T_Assign[מחלקה],$A8),0)</f>
        <v>0</v>
      </c>
      <c r="T8" s="34" t="n">
        <f aca="false">IFERROR(COUNTIFS(T_Assign[תאריך],R6,T_Assign[משמרת],"ערב",T_Assign[מחלקה],$A8),0)</f>
        <v>0</v>
      </c>
      <c r="U8" s="60" t="n">
        <f aca="false">IFERROR(SUM(R8:T8),0)</f>
        <v>0</v>
      </c>
      <c r="V8" s="34" t="n">
        <f aca="false">IFERROR(COUNTIFS(T_Assign[תאריך],V6,T_Assign[משמרת],"בוקר",T_Assign[מחלקה],$A8),0)</f>
        <v>0</v>
      </c>
      <c r="W8" s="34" t="n">
        <f aca="false">IFERROR(COUNTIFS(T_Assign[תאריך],V6,T_Assign[משמרת],"אמצע",T_Assign[מחלקה],$A8),0)</f>
        <v>0</v>
      </c>
      <c r="X8" s="34" t="n">
        <f aca="false">IFERROR(COUNTIFS(T_Assign[תאריך],V6,T_Assign[משמרת],"ערב",T_Assign[מחלקה],$A8),0)</f>
        <v>0</v>
      </c>
      <c r="Y8" s="60" t="n">
        <f aca="false">IFERROR(SUM(V8:X8),0)</f>
        <v>0</v>
      </c>
      <c r="Z8" s="34" t="n">
        <f aca="false">IFERROR(COUNTIFS(T_Assign[תאריך],Z6,T_Assign[משמרת],"בוקר",T_Assign[מחלקה],$A8),0)</f>
        <v>0</v>
      </c>
      <c r="AA8" s="34" t="n">
        <f aca="false">IFERROR(COUNTIFS(T_Assign[תאריך],Z6,T_Assign[משמרת],"אמצע",T_Assign[מחלקה],$A8),0)</f>
        <v>0</v>
      </c>
      <c r="AB8" s="34" t="n">
        <f aca="false">IFERROR(COUNTIFS(T_Assign[תאריך],Z6,T_Assign[משמרת],"ערב",T_Assign[מחלקה],$A8),0)</f>
        <v>0</v>
      </c>
      <c r="AC8" s="60" t="n">
        <f aca="false">IFERROR(SUM(Z8:AB8),0)</f>
        <v>0</v>
      </c>
      <c r="AD8" s="61" t="n">
        <f aca="false">IFERROR(E8+I8+M8+Q8+U8+Y8+AC8,0)</f>
        <v>0</v>
      </c>
      <c r="AE8" s="62" t="n">
        <f aca="false">IFERROR(SUMPRODUCT((T_Standards[מחלקה]=$A8)*T_Standards[תקן])*7,0)</f>
        <v>0</v>
      </c>
      <c r="AF8" s="63" t="n">
        <f aca="false">IFERROR(AE8-AD8,0)</f>
        <v>0</v>
      </c>
    </row>
    <row r="9" customFormat="false" ht="15" hidden="false" customHeight="true" outlineLevel="0" collapsed="false">
      <c r="A9" s="59" t="str">
        <f aca="false">IFERROR(INDEX(T_Depts[מחלקה],2),"")</f>
        <v/>
      </c>
      <c r="B9" s="64" t="n">
        <f aca="false">IFERROR(COUNTIFS(T_Assign[תאריך],B6,T_Assign[משמרת],"בוקר",T_Assign[מחלקה],$A9),0)</f>
        <v>0</v>
      </c>
      <c r="C9" s="64" t="n">
        <f aca="false">IFERROR(COUNTIFS(T_Assign[תאריך],B6,T_Assign[משמרת],"אמצע",T_Assign[מחלקה],$A9),0)</f>
        <v>0</v>
      </c>
      <c r="D9" s="64" t="n">
        <f aca="false">IFERROR(COUNTIFS(T_Assign[תאריך],B6,T_Assign[משמרת],"ערב",T_Assign[מחלקה],$A9),0)</f>
        <v>0</v>
      </c>
      <c r="E9" s="60" t="n">
        <f aca="false">IFERROR(SUM(B9:D9),0)</f>
        <v>0</v>
      </c>
      <c r="F9" s="64" t="n">
        <f aca="false">IFERROR(COUNTIFS(T_Assign[תאריך],F6,T_Assign[משמרת],"בוקר",T_Assign[מחלקה],$A9),0)</f>
        <v>0</v>
      </c>
      <c r="G9" s="64" t="n">
        <f aca="false">IFERROR(COUNTIFS(T_Assign[תאריך],F6,T_Assign[משמרת],"אמצע",T_Assign[מחלקה],$A9),0)</f>
        <v>0</v>
      </c>
      <c r="H9" s="64" t="n">
        <f aca="false">IFERROR(COUNTIFS(T_Assign[תאריך],F6,T_Assign[משמרת],"ערב",T_Assign[מחלקה],$A9),0)</f>
        <v>0</v>
      </c>
      <c r="I9" s="60" t="n">
        <f aca="false">IFERROR(SUM(F9:H9),0)</f>
        <v>0</v>
      </c>
      <c r="J9" s="64" t="n">
        <f aca="false">IFERROR(COUNTIFS(T_Assign[תאריך],J6,T_Assign[משמרת],"בוקר",T_Assign[מחלקה],$A9),0)</f>
        <v>0</v>
      </c>
      <c r="K9" s="64" t="n">
        <f aca="false">IFERROR(COUNTIFS(T_Assign[תאריך],J6,T_Assign[משמרת],"אמצע",T_Assign[מחלקה],$A9),0)</f>
        <v>0</v>
      </c>
      <c r="L9" s="64" t="n">
        <f aca="false">IFERROR(COUNTIFS(T_Assign[תאריך],J6,T_Assign[משמרת],"ערב",T_Assign[מחלקה],$A9),0)</f>
        <v>0</v>
      </c>
      <c r="M9" s="60" t="n">
        <f aca="false">IFERROR(SUM(J9:L9),0)</f>
        <v>0</v>
      </c>
      <c r="N9" s="64" t="n">
        <f aca="false">IFERROR(COUNTIFS(T_Assign[תאריך],N6,T_Assign[משמרת],"בוקר",T_Assign[מחלקה],$A9),0)</f>
        <v>0</v>
      </c>
      <c r="O9" s="64" t="n">
        <f aca="false">IFERROR(COUNTIFS(T_Assign[תאריך],N6,T_Assign[משמרת],"אמצע",T_Assign[מחלקה],$A9),0)</f>
        <v>0</v>
      </c>
      <c r="P9" s="64" t="n">
        <f aca="false">IFERROR(COUNTIFS(T_Assign[תאריך],N6,T_Assign[משמרת],"ערב",T_Assign[מחלקה],$A9),0)</f>
        <v>0</v>
      </c>
      <c r="Q9" s="60" t="n">
        <f aca="false">IFERROR(SUM(N9:P9),0)</f>
        <v>0</v>
      </c>
      <c r="R9" s="64" t="n">
        <f aca="false">IFERROR(COUNTIFS(T_Assign[תאריך],R6,T_Assign[משמרת],"בוקר",T_Assign[מחלקה],$A9),0)</f>
        <v>0</v>
      </c>
      <c r="S9" s="64" t="n">
        <f aca="false">IFERROR(COUNTIFS(T_Assign[תאריך],R6,T_Assign[משמרת],"אמצע",T_Assign[מחלקה],$A9),0)</f>
        <v>0</v>
      </c>
      <c r="T9" s="64" t="n">
        <f aca="false">IFERROR(COUNTIFS(T_Assign[תאריך],R6,T_Assign[משמרת],"ערב",T_Assign[מחלקה],$A9),0)</f>
        <v>0</v>
      </c>
      <c r="U9" s="60" t="n">
        <f aca="false">IFERROR(SUM(R9:T9),0)</f>
        <v>0</v>
      </c>
      <c r="V9" s="64" t="n">
        <f aca="false">IFERROR(COUNTIFS(T_Assign[תאריך],V6,T_Assign[משמרת],"בוקר",T_Assign[מחלקה],$A9),0)</f>
        <v>0</v>
      </c>
      <c r="W9" s="64" t="n">
        <f aca="false">IFERROR(COUNTIFS(T_Assign[תאריך],V6,T_Assign[משמרת],"אמצע",T_Assign[מחלקה],$A9),0)</f>
        <v>0</v>
      </c>
      <c r="X9" s="64" t="n">
        <f aca="false">IFERROR(COUNTIFS(T_Assign[תאריך],V6,T_Assign[משמרת],"ערב",T_Assign[מחלקה],$A9),0)</f>
        <v>0</v>
      </c>
      <c r="Y9" s="60" t="n">
        <f aca="false">IFERROR(SUM(V9:X9),0)</f>
        <v>0</v>
      </c>
      <c r="Z9" s="64" t="n">
        <f aca="false">IFERROR(COUNTIFS(T_Assign[תאריך],Z6,T_Assign[משמרת],"בוקר",T_Assign[מחלקה],$A9),0)</f>
        <v>0</v>
      </c>
      <c r="AA9" s="64" t="n">
        <f aca="false">IFERROR(COUNTIFS(T_Assign[תאריך],Z6,T_Assign[משמרת],"אמצע",T_Assign[מחלקה],$A9),0)</f>
        <v>0</v>
      </c>
      <c r="AB9" s="64" t="n">
        <f aca="false">IFERROR(COUNTIFS(T_Assign[תאריך],Z6,T_Assign[משמרת],"ערב",T_Assign[מחלקה],$A9),0)</f>
        <v>0</v>
      </c>
      <c r="AC9" s="60" t="n">
        <f aca="false">IFERROR(SUM(Z9:AB9),0)</f>
        <v>0</v>
      </c>
      <c r="AD9" s="61" t="n">
        <f aca="false">IFERROR(E9+I9+M9+Q9+U9+Y9+AC9,0)</f>
        <v>0</v>
      </c>
      <c r="AE9" s="62" t="n">
        <f aca="false">IFERROR(SUMPRODUCT((T_Standards[מחלקה]=$A9)*T_Standards[תקן])*7,0)</f>
        <v>0</v>
      </c>
      <c r="AF9" s="63" t="n">
        <f aca="false">IFERROR(AE9-AD9,0)</f>
        <v>0</v>
      </c>
    </row>
    <row r="10" customFormat="false" ht="15" hidden="false" customHeight="true" outlineLevel="0" collapsed="false">
      <c r="A10" s="59" t="str">
        <f aca="false">IFERROR(INDEX(T_Depts[מחלקה],3),"")</f>
        <v/>
      </c>
      <c r="B10" s="34" t="n">
        <f aca="false">IFERROR(COUNTIFS(T_Assign[תאריך],B6,T_Assign[משמרת],"בוקר",T_Assign[מחלקה],$A10),0)</f>
        <v>0</v>
      </c>
      <c r="C10" s="34" t="n">
        <f aca="false">IFERROR(COUNTIFS(T_Assign[תאריך],B6,T_Assign[משמרת],"אמצע",T_Assign[מחלקה],$A10),0)</f>
        <v>0</v>
      </c>
      <c r="D10" s="34" t="n">
        <f aca="false">IFERROR(COUNTIFS(T_Assign[תאריך],B6,T_Assign[משמרת],"ערב",T_Assign[מחלקה],$A10),0)</f>
        <v>0</v>
      </c>
      <c r="E10" s="60" t="n">
        <f aca="false">IFERROR(SUM(B10:D10),0)</f>
        <v>0</v>
      </c>
      <c r="F10" s="34" t="n">
        <f aca="false">IFERROR(COUNTIFS(T_Assign[תאריך],F6,T_Assign[משמרת],"בוקר",T_Assign[מחלקה],$A10),0)</f>
        <v>0</v>
      </c>
      <c r="G10" s="34" t="n">
        <f aca="false">IFERROR(COUNTIFS(T_Assign[תאריך],F6,T_Assign[משמרת],"אמצע",T_Assign[מחלקה],$A10),0)</f>
        <v>0</v>
      </c>
      <c r="H10" s="34" t="n">
        <f aca="false">IFERROR(COUNTIFS(T_Assign[תאריך],F6,T_Assign[משמרת],"ערב",T_Assign[מחלקה],$A10),0)</f>
        <v>0</v>
      </c>
      <c r="I10" s="60" t="n">
        <f aca="false">IFERROR(SUM(F10:H10),0)</f>
        <v>0</v>
      </c>
      <c r="J10" s="34" t="n">
        <f aca="false">IFERROR(COUNTIFS(T_Assign[תאריך],J6,T_Assign[משמרת],"בוקר",T_Assign[מחלקה],$A10),0)</f>
        <v>0</v>
      </c>
      <c r="K10" s="34" t="n">
        <f aca="false">IFERROR(COUNTIFS(T_Assign[תאריך],J6,T_Assign[משמרת],"אמצע",T_Assign[מחלקה],$A10),0)</f>
        <v>0</v>
      </c>
      <c r="L10" s="34" t="n">
        <f aca="false">IFERROR(COUNTIFS(T_Assign[תאריך],J6,T_Assign[משמרת],"ערב",T_Assign[מחלקה],$A10),0)</f>
        <v>0</v>
      </c>
      <c r="M10" s="60" t="n">
        <f aca="false">IFERROR(SUM(J10:L10),0)</f>
        <v>0</v>
      </c>
      <c r="N10" s="34" t="n">
        <f aca="false">IFERROR(COUNTIFS(T_Assign[תאריך],N6,T_Assign[משמרת],"בוקר",T_Assign[מחלקה],$A10),0)</f>
        <v>0</v>
      </c>
      <c r="O10" s="34" t="n">
        <f aca="false">IFERROR(COUNTIFS(T_Assign[תאריך],N6,T_Assign[משמרת],"אמצע",T_Assign[מחלקה],$A10),0)</f>
        <v>0</v>
      </c>
      <c r="P10" s="34" t="n">
        <f aca="false">IFERROR(COUNTIFS(T_Assign[תאריך],N6,T_Assign[משמרת],"ערב",T_Assign[מחלקה],$A10),0)</f>
        <v>0</v>
      </c>
      <c r="Q10" s="60" t="n">
        <f aca="false">IFERROR(SUM(N10:P10),0)</f>
        <v>0</v>
      </c>
      <c r="R10" s="34" t="n">
        <f aca="false">IFERROR(COUNTIFS(T_Assign[תאריך],R6,T_Assign[משמרת],"בוקר",T_Assign[מחלקה],$A10),0)</f>
        <v>0</v>
      </c>
      <c r="S10" s="34" t="n">
        <f aca="false">IFERROR(COUNTIFS(T_Assign[תאריך],R6,T_Assign[משמרת],"אמצע",T_Assign[מחלקה],$A10),0)</f>
        <v>0</v>
      </c>
      <c r="T10" s="34" t="n">
        <f aca="false">IFERROR(COUNTIFS(T_Assign[תאריך],R6,T_Assign[משמרת],"ערב",T_Assign[מחלקה],$A10),0)</f>
        <v>0</v>
      </c>
      <c r="U10" s="60" t="n">
        <f aca="false">IFERROR(SUM(R10:T10),0)</f>
        <v>0</v>
      </c>
      <c r="V10" s="34" t="n">
        <f aca="false">IFERROR(COUNTIFS(T_Assign[תאריך],V6,T_Assign[משמרת],"בוקר",T_Assign[מחלקה],$A10),0)</f>
        <v>0</v>
      </c>
      <c r="W10" s="34" t="n">
        <f aca="false">IFERROR(COUNTIFS(T_Assign[תאריך],V6,T_Assign[משמרת],"אמצע",T_Assign[מחלקה],$A10),0)</f>
        <v>0</v>
      </c>
      <c r="X10" s="34" t="n">
        <f aca="false">IFERROR(COUNTIFS(T_Assign[תאריך],V6,T_Assign[משמרת],"ערב",T_Assign[מחלקה],$A10),0)</f>
        <v>0</v>
      </c>
      <c r="Y10" s="60" t="n">
        <f aca="false">IFERROR(SUM(V10:X10),0)</f>
        <v>0</v>
      </c>
      <c r="Z10" s="34" t="n">
        <f aca="false">IFERROR(COUNTIFS(T_Assign[תאריך],Z6,T_Assign[משמרת],"בוקר",T_Assign[מחלקה],$A10),0)</f>
        <v>0</v>
      </c>
      <c r="AA10" s="34" t="n">
        <f aca="false">IFERROR(COUNTIFS(T_Assign[תאריך],Z6,T_Assign[משמרת],"אמצע",T_Assign[מחלקה],$A10),0)</f>
        <v>0</v>
      </c>
      <c r="AB10" s="34" t="n">
        <f aca="false">IFERROR(COUNTIFS(T_Assign[תאריך],Z6,T_Assign[משמרת],"ערב",T_Assign[מחלקה],$A10),0)</f>
        <v>0</v>
      </c>
      <c r="AC10" s="60" t="n">
        <f aca="false">IFERROR(SUM(Z10:AB10),0)</f>
        <v>0</v>
      </c>
      <c r="AD10" s="61" t="n">
        <f aca="false">IFERROR(E10+I10+M10+Q10+U10+Y10+AC10,0)</f>
        <v>0</v>
      </c>
      <c r="AE10" s="62" t="n">
        <f aca="false">IFERROR(SUMPRODUCT((T_Standards[מחלקה]=$A10)*T_Standards[תקן])*7,0)</f>
        <v>0</v>
      </c>
      <c r="AF10" s="63" t="n">
        <f aca="false">IFERROR(AE10-AD10,0)</f>
        <v>0</v>
      </c>
    </row>
    <row r="11" customFormat="false" ht="15" hidden="false" customHeight="true" outlineLevel="0" collapsed="false">
      <c r="A11" s="59" t="str">
        <f aca="false">IFERROR(INDEX(T_Depts[מחלקה],4),"")</f>
        <v/>
      </c>
      <c r="B11" s="64" t="n">
        <f aca="false">IFERROR(COUNTIFS(T_Assign[תאריך],B6,T_Assign[משמרת],"בוקר",T_Assign[מחלקה],$A11),0)</f>
        <v>0</v>
      </c>
      <c r="C11" s="64" t="n">
        <f aca="false">IFERROR(COUNTIFS(T_Assign[תאריך],B6,T_Assign[משמרת],"אמצע",T_Assign[מחלקה],$A11),0)</f>
        <v>0</v>
      </c>
      <c r="D11" s="64" t="n">
        <f aca="false">IFERROR(COUNTIFS(T_Assign[תאריך],B6,T_Assign[משמרת],"ערב",T_Assign[מחלקה],$A11),0)</f>
        <v>0</v>
      </c>
      <c r="E11" s="60" t="n">
        <f aca="false">IFERROR(SUM(B11:D11),0)</f>
        <v>0</v>
      </c>
      <c r="F11" s="64" t="n">
        <f aca="false">IFERROR(COUNTIFS(T_Assign[תאריך],F6,T_Assign[משמרת],"בוקר",T_Assign[מחלקה],$A11),0)</f>
        <v>0</v>
      </c>
      <c r="G11" s="64" t="n">
        <f aca="false">IFERROR(COUNTIFS(T_Assign[תאריך],F6,T_Assign[משמרת],"אמצע",T_Assign[מחלקה],$A11),0)</f>
        <v>0</v>
      </c>
      <c r="H11" s="64" t="n">
        <f aca="false">IFERROR(COUNTIFS(T_Assign[תאריך],F6,T_Assign[משמרת],"ערב",T_Assign[מחלקה],$A11),0)</f>
        <v>0</v>
      </c>
      <c r="I11" s="60" t="n">
        <f aca="false">IFERROR(SUM(F11:H11),0)</f>
        <v>0</v>
      </c>
      <c r="J11" s="64" t="n">
        <f aca="false">IFERROR(COUNTIFS(T_Assign[תאריך],J6,T_Assign[משמרת],"בוקר",T_Assign[מחלקה],$A11),0)</f>
        <v>0</v>
      </c>
      <c r="K11" s="64" t="n">
        <f aca="false">IFERROR(COUNTIFS(T_Assign[תאריך],J6,T_Assign[משמרת],"אמצע",T_Assign[מחלקה],$A11),0)</f>
        <v>0</v>
      </c>
      <c r="L11" s="64" t="n">
        <f aca="false">IFERROR(COUNTIFS(T_Assign[תאריך],J6,T_Assign[משמרת],"ערב",T_Assign[מחלקה],$A11),0)</f>
        <v>0</v>
      </c>
      <c r="M11" s="60" t="n">
        <f aca="false">IFERROR(SUM(J11:L11),0)</f>
        <v>0</v>
      </c>
      <c r="N11" s="64" t="n">
        <f aca="false">IFERROR(COUNTIFS(T_Assign[תאריך],N6,T_Assign[משמרת],"בוקר",T_Assign[מחלקה],$A11),0)</f>
        <v>0</v>
      </c>
      <c r="O11" s="64" t="n">
        <f aca="false">IFERROR(COUNTIFS(T_Assign[תאריך],N6,T_Assign[משמרת],"אמצע",T_Assign[מחלקה],$A11),0)</f>
        <v>0</v>
      </c>
      <c r="P11" s="64" t="n">
        <f aca="false">IFERROR(COUNTIFS(T_Assign[תאריך],N6,T_Assign[משמרת],"ערב",T_Assign[מחלקה],$A11),0)</f>
        <v>0</v>
      </c>
      <c r="Q11" s="60" t="n">
        <f aca="false">IFERROR(SUM(N11:P11),0)</f>
        <v>0</v>
      </c>
      <c r="R11" s="64" t="n">
        <f aca="false">IFERROR(COUNTIFS(T_Assign[תאריך],R6,T_Assign[משמרת],"בוקר",T_Assign[מחלקה],$A11),0)</f>
        <v>0</v>
      </c>
      <c r="S11" s="64" t="n">
        <f aca="false">IFERROR(COUNTIFS(T_Assign[תאריך],R6,T_Assign[משמרת],"אמצע",T_Assign[מחלקה],$A11),0)</f>
        <v>0</v>
      </c>
      <c r="T11" s="64" t="n">
        <f aca="false">IFERROR(COUNTIFS(T_Assign[תאריך],R6,T_Assign[משמרת],"ערב",T_Assign[מחלקה],$A11),0)</f>
        <v>0</v>
      </c>
      <c r="U11" s="60" t="n">
        <f aca="false">IFERROR(SUM(R11:T11),0)</f>
        <v>0</v>
      </c>
      <c r="V11" s="64" t="n">
        <f aca="false">IFERROR(COUNTIFS(T_Assign[תאריך],V6,T_Assign[משמרת],"בוקר",T_Assign[מחלקה],$A11),0)</f>
        <v>0</v>
      </c>
      <c r="W11" s="64" t="n">
        <f aca="false">IFERROR(COUNTIFS(T_Assign[תאריך],V6,T_Assign[משמרת],"אמצע",T_Assign[מחלקה],$A11),0)</f>
        <v>0</v>
      </c>
      <c r="X11" s="64" t="n">
        <f aca="false">IFERROR(COUNTIFS(T_Assign[תאריך],V6,T_Assign[משמרת],"ערב",T_Assign[מחלקה],$A11),0)</f>
        <v>0</v>
      </c>
      <c r="Y11" s="60" t="n">
        <f aca="false">IFERROR(SUM(V11:X11),0)</f>
        <v>0</v>
      </c>
      <c r="Z11" s="64" t="n">
        <f aca="false">IFERROR(COUNTIFS(T_Assign[תאריך],Z6,T_Assign[משמרת],"בוקר",T_Assign[מחלקה],$A11),0)</f>
        <v>0</v>
      </c>
      <c r="AA11" s="64" t="n">
        <f aca="false">IFERROR(COUNTIFS(T_Assign[תאריך],Z6,T_Assign[משמרת],"אמצע",T_Assign[מחלקה],$A11),0)</f>
        <v>0</v>
      </c>
      <c r="AB11" s="64" t="n">
        <f aca="false">IFERROR(COUNTIFS(T_Assign[תאריך],Z6,T_Assign[משמרת],"ערב",T_Assign[מחלקה],$A11),0)</f>
        <v>0</v>
      </c>
      <c r="AC11" s="60" t="n">
        <f aca="false">IFERROR(SUM(Z11:AB11),0)</f>
        <v>0</v>
      </c>
      <c r="AD11" s="61" t="n">
        <f aca="false">IFERROR(E11+I11+M11+Q11+U11+Y11+AC11,0)</f>
        <v>0</v>
      </c>
      <c r="AE11" s="62" t="n">
        <f aca="false">IFERROR(SUMPRODUCT((T_Standards[מחלקה]=$A11)*T_Standards[תקן])*7,0)</f>
        <v>0</v>
      </c>
      <c r="AF11" s="63" t="n">
        <f aca="false">IFERROR(AE11-AD11,0)</f>
        <v>0</v>
      </c>
    </row>
    <row r="12" customFormat="false" ht="15" hidden="false" customHeight="true" outlineLevel="0" collapsed="false">
      <c r="A12" s="59" t="str">
        <f aca="false">IFERROR(INDEX(T_Depts[מחלקה],5),"")</f>
        <v/>
      </c>
      <c r="B12" s="34" t="n">
        <f aca="false">IFERROR(COUNTIFS(T_Assign[תאריך],B6,T_Assign[משמרת],"בוקר",T_Assign[מחלקה],$A12),0)</f>
        <v>0</v>
      </c>
      <c r="C12" s="34" t="n">
        <f aca="false">IFERROR(COUNTIFS(T_Assign[תאריך],B6,T_Assign[משמרת],"אמצע",T_Assign[מחלקה],$A12),0)</f>
        <v>0</v>
      </c>
      <c r="D12" s="34" t="n">
        <f aca="false">IFERROR(COUNTIFS(T_Assign[תאריך],B6,T_Assign[משמרת],"ערב",T_Assign[מחלקה],$A12),0)</f>
        <v>0</v>
      </c>
      <c r="E12" s="60" t="n">
        <f aca="false">IFERROR(SUM(B12:D12),0)</f>
        <v>0</v>
      </c>
      <c r="F12" s="34" t="n">
        <f aca="false">IFERROR(COUNTIFS(T_Assign[תאריך],F6,T_Assign[משמרת],"בוקר",T_Assign[מחלקה],$A12),0)</f>
        <v>0</v>
      </c>
      <c r="G12" s="34" t="n">
        <f aca="false">IFERROR(COUNTIFS(T_Assign[תאריך],F6,T_Assign[משמרת],"אמצע",T_Assign[מחלקה],$A12),0)</f>
        <v>0</v>
      </c>
      <c r="H12" s="34" t="n">
        <f aca="false">IFERROR(COUNTIFS(T_Assign[תאריך],F6,T_Assign[משמרת],"ערב",T_Assign[מחלקה],$A12),0)</f>
        <v>0</v>
      </c>
      <c r="I12" s="60" t="n">
        <f aca="false">IFERROR(SUM(F12:H12),0)</f>
        <v>0</v>
      </c>
      <c r="J12" s="34" t="n">
        <f aca="false">IFERROR(COUNTIFS(T_Assign[תאריך],J6,T_Assign[משמרת],"בוקר",T_Assign[מחלקה],$A12),0)</f>
        <v>0</v>
      </c>
      <c r="K12" s="34" t="n">
        <f aca="false">IFERROR(COUNTIFS(T_Assign[תאריך],J6,T_Assign[משמרת],"אמצע",T_Assign[מחלקה],$A12),0)</f>
        <v>0</v>
      </c>
      <c r="L12" s="34" t="n">
        <f aca="false">IFERROR(COUNTIFS(T_Assign[תאריך],J6,T_Assign[משמרת],"ערב",T_Assign[מחלקה],$A12),0)</f>
        <v>0</v>
      </c>
      <c r="M12" s="60" t="n">
        <f aca="false">IFERROR(SUM(J12:L12),0)</f>
        <v>0</v>
      </c>
      <c r="N12" s="34" t="n">
        <f aca="false">IFERROR(COUNTIFS(T_Assign[תאריך],N6,T_Assign[משמרת],"בוקר",T_Assign[מחלקה],$A12),0)</f>
        <v>0</v>
      </c>
      <c r="O12" s="34" t="n">
        <f aca="false">IFERROR(COUNTIFS(T_Assign[תאריך],N6,T_Assign[משמרת],"אמצע",T_Assign[מחלקה],$A12),0)</f>
        <v>0</v>
      </c>
      <c r="P12" s="34" t="n">
        <f aca="false">IFERROR(COUNTIFS(T_Assign[תאריך],N6,T_Assign[משמרת],"ערב",T_Assign[מחלקה],$A12),0)</f>
        <v>0</v>
      </c>
      <c r="Q12" s="60" t="n">
        <f aca="false">IFERROR(SUM(N12:P12),0)</f>
        <v>0</v>
      </c>
      <c r="R12" s="34" t="n">
        <f aca="false">IFERROR(COUNTIFS(T_Assign[תאריך],R6,T_Assign[משמרת],"בוקר",T_Assign[מחלקה],$A12),0)</f>
        <v>0</v>
      </c>
      <c r="S12" s="34" t="n">
        <f aca="false">IFERROR(COUNTIFS(T_Assign[תאריך],R6,T_Assign[משמרת],"אמצע",T_Assign[מחלקה],$A12),0)</f>
        <v>0</v>
      </c>
      <c r="T12" s="34" t="n">
        <f aca="false">IFERROR(COUNTIFS(T_Assign[תאריך],R6,T_Assign[משמרת],"ערב",T_Assign[מחלקה],$A12),0)</f>
        <v>0</v>
      </c>
      <c r="U12" s="60" t="n">
        <f aca="false">IFERROR(SUM(R12:T12),0)</f>
        <v>0</v>
      </c>
      <c r="V12" s="34" t="n">
        <f aca="false">IFERROR(COUNTIFS(T_Assign[תאריך],V6,T_Assign[משמרת],"בוקר",T_Assign[מחלקה],$A12),0)</f>
        <v>0</v>
      </c>
      <c r="W12" s="34" t="n">
        <f aca="false">IFERROR(COUNTIFS(T_Assign[תאריך],V6,T_Assign[משמרת],"אמצע",T_Assign[מחלקה],$A12),0)</f>
        <v>0</v>
      </c>
      <c r="X12" s="34" t="n">
        <f aca="false">IFERROR(COUNTIFS(T_Assign[תאריך],V6,T_Assign[משמרת],"ערב",T_Assign[מחלקה],$A12),0)</f>
        <v>0</v>
      </c>
      <c r="Y12" s="60" t="n">
        <f aca="false">IFERROR(SUM(V12:X12),0)</f>
        <v>0</v>
      </c>
      <c r="Z12" s="34" t="n">
        <f aca="false">IFERROR(COUNTIFS(T_Assign[תאריך],Z6,T_Assign[משמרת],"בוקר",T_Assign[מחלקה],$A12),0)</f>
        <v>0</v>
      </c>
      <c r="AA12" s="34" t="n">
        <f aca="false">IFERROR(COUNTIFS(T_Assign[תאריך],Z6,T_Assign[משמרת],"אמצע",T_Assign[מחלקה],$A12),0)</f>
        <v>0</v>
      </c>
      <c r="AB12" s="34" t="n">
        <f aca="false">IFERROR(COUNTIFS(T_Assign[תאריך],Z6,T_Assign[משמרת],"ערב",T_Assign[מחלקה],$A12),0)</f>
        <v>0</v>
      </c>
      <c r="AC12" s="60" t="n">
        <f aca="false">IFERROR(SUM(Z12:AB12),0)</f>
        <v>0</v>
      </c>
      <c r="AD12" s="61" t="n">
        <f aca="false">IFERROR(E12+I12+M12+Q12+U12+Y12+AC12,0)</f>
        <v>0</v>
      </c>
      <c r="AE12" s="62" t="n">
        <f aca="false">IFERROR(SUMPRODUCT((T_Standards[מחלקה]=$A12)*T_Standards[תקן])*7,0)</f>
        <v>0</v>
      </c>
      <c r="AF12" s="63" t="n">
        <f aca="false">IFERROR(AE12-AD12,0)</f>
        <v>0</v>
      </c>
    </row>
    <row r="13" customFormat="false" ht="15" hidden="false" customHeight="true" outlineLevel="0" collapsed="false">
      <c r="A13" s="59" t="str">
        <f aca="false">IFERROR(INDEX(T_Depts[מחלקה],6),"")</f>
        <v/>
      </c>
      <c r="B13" s="64" t="n">
        <f aca="false">IFERROR(COUNTIFS(T_Assign[תאריך],B6,T_Assign[משמרת],"בוקר",T_Assign[מחלקה],$A13),0)</f>
        <v>0</v>
      </c>
      <c r="C13" s="64" t="n">
        <f aca="false">IFERROR(COUNTIFS(T_Assign[תאריך],B6,T_Assign[משמרת],"אמצע",T_Assign[מחלקה],$A13),0)</f>
        <v>0</v>
      </c>
      <c r="D13" s="64" t="n">
        <f aca="false">IFERROR(COUNTIFS(T_Assign[תאריך],B6,T_Assign[משמרת],"ערב",T_Assign[מחלקה],$A13),0)</f>
        <v>0</v>
      </c>
      <c r="E13" s="60" t="n">
        <f aca="false">IFERROR(SUM(B13:D13),0)</f>
        <v>0</v>
      </c>
      <c r="F13" s="64" t="n">
        <f aca="false">IFERROR(COUNTIFS(T_Assign[תאריך],F6,T_Assign[משמרת],"בוקר",T_Assign[מחלקה],$A13),0)</f>
        <v>0</v>
      </c>
      <c r="G13" s="64" t="n">
        <f aca="false">IFERROR(COUNTIFS(T_Assign[תאריך],F6,T_Assign[משמרת],"אמצע",T_Assign[מחלקה],$A13),0)</f>
        <v>0</v>
      </c>
      <c r="H13" s="64" t="n">
        <f aca="false">IFERROR(COUNTIFS(T_Assign[תאריך],F6,T_Assign[משמרת],"ערב",T_Assign[מחלקה],$A13),0)</f>
        <v>0</v>
      </c>
      <c r="I13" s="60" t="n">
        <f aca="false">IFERROR(SUM(F13:H13),0)</f>
        <v>0</v>
      </c>
      <c r="J13" s="64" t="n">
        <f aca="false">IFERROR(COUNTIFS(T_Assign[תאריך],J6,T_Assign[משמרת],"בוקר",T_Assign[מחלקה],$A13),0)</f>
        <v>0</v>
      </c>
      <c r="K13" s="64" t="n">
        <f aca="false">IFERROR(COUNTIFS(T_Assign[תאריך],J6,T_Assign[משמרת],"אמצע",T_Assign[מחלקה],$A13),0)</f>
        <v>0</v>
      </c>
      <c r="L13" s="64" t="n">
        <f aca="false">IFERROR(COUNTIFS(T_Assign[תאריך],J6,T_Assign[משמרת],"ערב",T_Assign[מחלקה],$A13),0)</f>
        <v>0</v>
      </c>
      <c r="M13" s="60" t="n">
        <f aca="false">IFERROR(SUM(J13:L13),0)</f>
        <v>0</v>
      </c>
      <c r="N13" s="64" t="n">
        <f aca="false">IFERROR(COUNTIFS(T_Assign[תאריך],N6,T_Assign[משמרת],"בוקר",T_Assign[מחלקה],$A13),0)</f>
        <v>0</v>
      </c>
      <c r="O13" s="64" t="n">
        <f aca="false">IFERROR(COUNTIFS(T_Assign[תאריך],N6,T_Assign[משמרת],"אמצע",T_Assign[מחלקה],$A13),0)</f>
        <v>0</v>
      </c>
      <c r="P13" s="64" t="n">
        <f aca="false">IFERROR(COUNTIFS(T_Assign[תאריך],N6,T_Assign[משמרת],"ערב",T_Assign[מחלקה],$A13),0)</f>
        <v>0</v>
      </c>
      <c r="Q13" s="60" t="n">
        <f aca="false">IFERROR(SUM(N13:P13),0)</f>
        <v>0</v>
      </c>
      <c r="R13" s="64" t="n">
        <f aca="false">IFERROR(COUNTIFS(T_Assign[תאריך],R6,T_Assign[משמרת],"בוקר",T_Assign[מחלקה],$A13),0)</f>
        <v>0</v>
      </c>
      <c r="S13" s="64" t="n">
        <f aca="false">IFERROR(COUNTIFS(T_Assign[תאריך],R6,T_Assign[משמרת],"אמצע",T_Assign[מחלקה],$A13),0)</f>
        <v>0</v>
      </c>
      <c r="T13" s="64" t="n">
        <f aca="false">IFERROR(COUNTIFS(T_Assign[תאריך],R6,T_Assign[משמרת],"ערב",T_Assign[מחלקה],$A13),0)</f>
        <v>0</v>
      </c>
      <c r="U13" s="60" t="n">
        <f aca="false">IFERROR(SUM(R13:T13),0)</f>
        <v>0</v>
      </c>
      <c r="V13" s="64" t="n">
        <f aca="false">IFERROR(COUNTIFS(T_Assign[תאריך],V6,T_Assign[משמרת],"בוקר",T_Assign[מחלקה],$A13),0)</f>
        <v>0</v>
      </c>
      <c r="W13" s="64" t="n">
        <f aca="false">IFERROR(COUNTIFS(T_Assign[תאריך],V6,T_Assign[משמרת],"אמצע",T_Assign[מחלקה],$A13),0)</f>
        <v>0</v>
      </c>
      <c r="X13" s="64" t="n">
        <f aca="false">IFERROR(COUNTIFS(T_Assign[תאריך],V6,T_Assign[משמרת],"ערב",T_Assign[מחלקה],$A13),0)</f>
        <v>0</v>
      </c>
      <c r="Y13" s="60" t="n">
        <f aca="false">IFERROR(SUM(V13:X13),0)</f>
        <v>0</v>
      </c>
      <c r="Z13" s="64" t="n">
        <f aca="false">IFERROR(COUNTIFS(T_Assign[תאריך],Z6,T_Assign[משמרת],"בוקר",T_Assign[מחלקה],$A13),0)</f>
        <v>0</v>
      </c>
      <c r="AA13" s="64" t="n">
        <f aca="false">IFERROR(COUNTIFS(T_Assign[תאריך],Z6,T_Assign[משמרת],"אמצע",T_Assign[מחלקה],$A13),0)</f>
        <v>0</v>
      </c>
      <c r="AB13" s="64" t="n">
        <f aca="false">IFERROR(COUNTIFS(T_Assign[תאריך],Z6,T_Assign[משמרת],"ערב",T_Assign[מחלקה],$A13),0)</f>
        <v>0</v>
      </c>
      <c r="AC13" s="60" t="n">
        <f aca="false">IFERROR(SUM(Z13:AB13),0)</f>
        <v>0</v>
      </c>
      <c r="AD13" s="61" t="n">
        <f aca="false">IFERROR(E13+I13+M13+Q13+U13+Y13+AC13,0)</f>
        <v>0</v>
      </c>
      <c r="AE13" s="62" t="n">
        <f aca="false">IFERROR(SUMPRODUCT((T_Standards[מחלקה]=$A13)*T_Standards[תקן])*7,0)</f>
        <v>0</v>
      </c>
      <c r="AF13" s="63" t="n">
        <f aca="false">IFERROR(AE13-AD13,0)</f>
        <v>0</v>
      </c>
    </row>
    <row r="14" customFormat="false" ht="15" hidden="false" customHeight="true" outlineLevel="0" collapsed="false">
      <c r="A14" s="59" t="str">
        <f aca="false">IFERROR(INDEX(T_Depts[מחלקה],7),"")</f>
        <v/>
      </c>
      <c r="B14" s="34" t="n">
        <f aca="false">IFERROR(COUNTIFS(T_Assign[תאריך],B6,T_Assign[משמרת],"בוקר",T_Assign[מחלקה],$A14),0)</f>
        <v>0</v>
      </c>
      <c r="C14" s="34" t="n">
        <f aca="false">IFERROR(COUNTIFS(T_Assign[תאריך],B6,T_Assign[משמרת],"אמצע",T_Assign[מחלקה],$A14),0)</f>
        <v>0</v>
      </c>
      <c r="D14" s="34" t="n">
        <f aca="false">IFERROR(COUNTIFS(T_Assign[תאריך],B6,T_Assign[משמרת],"ערב",T_Assign[מחלקה],$A14),0)</f>
        <v>0</v>
      </c>
      <c r="E14" s="60" t="n">
        <f aca="false">IFERROR(SUM(B14:D14),0)</f>
        <v>0</v>
      </c>
      <c r="F14" s="34" t="n">
        <f aca="false">IFERROR(COUNTIFS(T_Assign[תאריך],F6,T_Assign[משמרת],"בוקר",T_Assign[מחלקה],$A14),0)</f>
        <v>0</v>
      </c>
      <c r="G14" s="34" t="n">
        <f aca="false">IFERROR(COUNTIFS(T_Assign[תאריך],F6,T_Assign[משמרת],"אמצע",T_Assign[מחלקה],$A14),0)</f>
        <v>0</v>
      </c>
      <c r="H14" s="34" t="n">
        <f aca="false">IFERROR(COUNTIFS(T_Assign[תאריך],F6,T_Assign[משמרת],"ערב",T_Assign[מחלקה],$A14),0)</f>
        <v>0</v>
      </c>
      <c r="I14" s="60" t="n">
        <f aca="false">IFERROR(SUM(F14:H14),0)</f>
        <v>0</v>
      </c>
      <c r="J14" s="34" t="n">
        <f aca="false">IFERROR(COUNTIFS(T_Assign[תאריך],J6,T_Assign[משמרת],"בוקר",T_Assign[מחלקה],$A14),0)</f>
        <v>0</v>
      </c>
      <c r="K14" s="34" t="n">
        <f aca="false">IFERROR(COUNTIFS(T_Assign[תאריך],J6,T_Assign[משמרת],"אמצע",T_Assign[מחלקה],$A14),0)</f>
        <v>0</v>
      </c>
      <c r="L14" s="34" t="n">
        <f aca="false">IFERROR(COUNTIFS(T_Assign[תאריך],J6,T_Assign[משמרת],"ערב",T_Assign[מחלקה],$A14),0)</f>
        <v>0</v>
      </c>
      <c r="M14" s="60" t="n">
        <f aca="false">IFERROR(SUM(J14:L14),0)</f>
        <v>0</v>
      </c>
      <c r="N14" s="34" t="n">
        <f aca="false">IFERROR(COUNTIFS(T_Assign[תאריך],N6,T_Assign[משמרת],"בוקר",T_Assign[מחלקה],$A14),0)</f>
        <v>0</v>
      </c>
      <c r="O14" s="34" t="n">
        <f aca="false">IFERROR(COUNTIFS(T_Assign[תאריך],N6,T_Assign[משמרת],"אמצע",T_Assign[מחלקה],$A14),0)</f>
        <v>0</v>
      </c>
      <c r="P14" s="34" t="n">
        <f aca="false">IFERROR(COUNTIFS(T_Assign[תאריך],N6,T_Assign[משמרת],"ערב",T_Assign[מחלקה],$A14),0)</f>
        <v>0</v>
      </c>
      <c r="Q14" s="60" t="n">
        <f aca="false">IFERROR(SUM(N14:P14),0)</f>
        <v>0</v>
      </c>
      <c r="R14" s="34" t="n">
        <f aca="false">IFERROR(COUNTIFS(T_Assign[תאריך],R6,T_Assign[משמרת],"בוקר",T_Assign[מחלקה],$A14),0)</f>
        <v>0</v>
      </c>
      <c r="S14" s="34" t="n">
        <f aca="false">IFERROR(COUNTIFS(T_Assign[תאריך],R6,T_Assign[משמרת],"אמצע",T_Assign[מחלקה],$A14),0)</f>
        <v>0</v>
      </c>
      <c r="T14" s="34" t="n">
        <f aca="false">IFERROR(COUNTIFS(T_Assign[תאריך],R6,T_Assign[משמרת],"ערב",T_Assign[מחלקה],$A14),0)</f>
        <v>0</v>
      </c>
      <c r="U14" s="60" t="n">
        <f aca="false">IFERROR(SUM(R14:T14),0)</f>
        <v>0</v>
      </c>
      <c r="V14" s="34" t="n">
        <f aca="false">IFERROR(COUNTIFS(T_Assign[תאריך],V6,T_Assign[משמרת],"בוקר",T_Assign[מחלקה],$A14),0)</f>
        <v>0</v>
      </c>
      <c r="W14" s="34" t="n">
        <f aca="false">IFERROR(COUNTIFS(T_Assign[תאריך],V6,T_Assign[משמרת],"אמצע",T_Assign[מחלקה],$A14),0)</f>
        <v>0</v>
      </c>
      <c r="X14" s="34" t="n">
        <f aca="false">IFERROR(COUNTIFS(T_Assign[תאריך],V6,T_Assign[משמרת],"ערב",T_Assign[מחלקה],$A14),0)</f>
        <v>0</v>
      </c>
      <c r="Y14" s="60" t="n">
        <f aca="false">IFERROR(SUM(V14:X14),0)</f>
        <v>0</v>
      </c>
      <c r="Z14" s="34" t="n">
        <f aca="false">IFERROR(COUNTIFS(T_Assign[תאריך],Z6,T_Assign[משמרת],"בוקר",T_Assign[מחלקה],$A14),0)</f>
        <v>0</v>
      </c>
      <c r="AA14" s="34" t="n">
        <f aca="false">IFERROR(COUNTIFS(T_Assign[תאריך],Z6,T_Assign[משמרת],"אמצע",T_Assign[מחלקה],$A14),0)</f>
        <v>0</v>
      </c>
      <c r="AB14" s="34" t="n">
        <f aca="false">IFERROR(COUNTIFS(T_Assign[תאריך],Z6,T_Assign[משמרת],"ערב",T_Assign[מחלקה],$A14),0)</f>
        <v>0</v>
      </c>
      <c r="AC14" s="60" t="n">
        <f aca="false">IFERROR(SUM(Z14:AB14),0)</f>
        <v>0</v>
      </c>
      <c r="AD14" s="61" t="n">
        <f aca="false">IFERROR(E14+I14+M14+Q14+U14+Y14+AC14,0)</f>
        <v>0</v>
      </c>
      <c r="AE14" s="62" t="n">
        <f aca="false">IFERROR(SUMPRODUCT((T_Standards[מחלקה]=$A14)*T_Standards[תקן])*7,0)</f>
        <v>0</v>
      </c>
      <c r="AF14" s="63" t="n">
        <f aca="false">IFERROR(AE14-AD14,0)</f>
        <v>0</v>
      </c>
    </row>
    <row r="15" customFormat="false" ht="15" hidden="false" customHeight="true" outlineLevel="0" collapsed="false">
      <c r="A15" s="59" t="str">
        <f aca="false">IFERROR(INDEX(T_Depts[מחלקה],8),"")</f>
        <v/>
      </c>
      <c r="B15" s="64" t="n">
        <f aca="false">IFERROR(COUNTIFS(T_Assign[תאריך],B6,T_Assign[משמרת],"בוקר",T_Assign[מחלקה],$A15),0)</f>
        <v>0</v>
      </c>
      <c r="C15" s="64" t="n">
        <f aca="false">IFERROR(COUNTIFS(T_Assign[תאריך],B6,T_Assign[משמרת],"אמצע",T_Assign[מחלקה],$A15),0)</f>
        <v>0</v>
      </c>
      <c r="D15" s="64" t="n">
        <f aca="false">IFERROR(COUNTIFS(T_Assign[תאריך],B6,T_Assign[משמרת],"ערב",T_Assign[מחלקה],$A15),0)</f>
        <v>0</v>
      </c>
      <c r="E15" s="60" t="n">
        <f aca="false">IFERROR(SUM(B15:D15),0)</f>
        <v>0</v>
      </c>
      <c r="F15" s="64" t="n">
        <f aca="false">IFERROR(COUNTIFS(T_Assign[תאריך],F6,T_Assign[משמרת],"בוקר",T_Assign[מחלקה],$A15),0)</f>
        <v>0</v>
      </c>
      <c r="G15" s="64" t="n">
        <f aca="false">IFERROR(COUNTIFS(T_Assign[תאריך],F6,T_Assign[משמרת],"אמצע",T_Assign[מחלקה],$A15),0)</f>
        <v>0</v>
      </c>
      <c r="H15" s="64" t="n">
        <f aca="false">IFERROR(COUNTIFS(T_Assign[תאריך],F6,T_Assign[משמרת],"ערב",T_Assign[מחלקה],$A15),0)</f>
        <v>0</v>
      </c>
      <c r="I15" s="60" t="n">
        <f aca="false">IFERROR(SUM(F15:H15),0)</f>
        <v>0</v>
      </c>
      <c r="J15" s="64" t="n">
        <f aca="false">IFERROR(COUNTIFS(T_Assign[תאריך],J6,T_Assign[משמרת],"בוקר",T_Assign[מחלקה],$A15),0)</f>
        <v>0</v>
      </c>
      <c r="K15" s="64" t="n">
        <f aca="false">IFERROR(COUNTIFS(T_Assign[תאריך],J6,T_Assign[משמרת],"אמצע",T_Assign[מחלקה],$A15),0)</f>
        <v>0</v>
      </c>
      <c r="L15" s="64" t="n">
        <f aca="false">IFERROR(COUNTIFS(T_Assign[תאריך],J6,T_Assign[משמרת],"ערב",T_Assign[מחלקה],$A15),0)</f>
        <v>0</v>
      </c>
      <c r="M15" s="60" t="n">
        <f aca="false">IFERROR(SUM(J15:L15),0)</f>
        <v>0</v>
      </c>
      <c r="N15" s="64" t="n">
        <f aca="false">IFERROR(COUNTIFS(T_Assign[תאריך],N6,T_Assign[משמרת],"בוקר",T_Assign[מחלקה],$A15),0)</f>
        <v>0</v>
      </c>
      <c r="O15" s="64" t="n">
        <f aca="false">IFERROR(COUNTIFS(T_Assign[תאריך],N6,T_Assign[משמרת],"אמצע",T_Assign[מחלקה],$A15),0)</f>
        <v>0</v>
      </c>
      <c r="P15" s="64" t="n">
        <f aca="false">IFERROR(COUNTIFS(T_Assign[תאריך],N6,T_Assign[משמרת],"ערב",T_Assign[מחלקה],$A15),0)</f>
        <v>0</v>
      </c>
      <c r="Q15" s="60" t="n">
        <f aca="false">IFERROR(SUM(N15:P15),0)</f>
        <v>0</v>
      </c>
      <c r="R15" s="64" t="n">
        <f aca="false">IFERROR(COUNTIFS(T_Assign[תאריך],R6,T_Assign[משמרת],"בוקר",T_Assign[מחלקה],$A15),0)</f>
        <v>0</v>
      </c>
      <c r="S15" s="64" t="n">
        <f aca="false">IFERROR(COUNTIFS(T_Assign[תאריך],R6,T_Assign[משמרת],"אמצע",T_Assign[מחלקה],$A15),0)</f>
        <v>0</v>
      </c>
      <c r="T15" s="64" t="n">
        <f aca="false">IFERROR(COUNTIFS(T_Assign[תאריך],R6,T_Assign[משמרת],"ערב",T_Assign[מחלקה],$A15),0)</f>
        <v>0</v>
      </c>
      <c r="U15" s="60" t="n">
        <f aca="false">IFERROR(SUM(R15:T15),0)</f>
        <v>0</v>
      </c>
      <c r="V15" s="64" t="n">
        <f aca="false">IFERROR(COUNTIFS(T_Assign[תאריך],V6,T_Assign[משמרת],"בוקר",T_Assign[מחלקה],$A15),0)</f>
        <v>0</v>
      </c>
      <c r="W15" s="64" t="n">
        <f aca="false">IFERROR(COUNTIFS(T_Assign[תאריך],V6,T_Assign[משמרת],"אמצע",T_Assign[מחלקה],$A15),0)</f>
        <v>0</v>
      </c>
      <c r="X15" s="64" t="n">
        <f aca="false">IFERROR(COUNTIFS(T_Assign[תאריך],V6,T_Assign[משמרת],"ערב",T_Assign[מחלקה],$A15),0)</f>
        <v>0</v>
      </c>
      <c r="Y15" s="60" t="n">
        <f aca="false">IFERROR(SUM(V15:X15),0)</f>
        <v>0</v>
      </c>
      <c r="Z15" s="64" t="n">
        <f aca="false">IFERROR(COUNTIFS(T_Assign[תאריך],Z6,T_Assign[משמרת],"בוקר",T_Assign[מחלקה],$A15),0)</f>
        <v>0</v>
      </c>
      <c r="AA15" s="64" t="n">
        <f aca="false">IFERROR(COUNTIFS(T_Assign[תאריך],Z6,T_Assign[משמרת],"אמצע",T_Assign[מחלקה],$A15),0)</f>
        <v>0</v>
      </c>
      <c r="AB15" s="64" t="n">
        <f aca="false">IFERROR(COUNTIFS(T_Assign[תאריך],Z6,T_Assign[משמרת],"ערב",T_Assign[מחלקה],$A15),0)</f>
        <v>0</v>
      </c>
      <c r="AC15" s="60" t="n">
        <f aca="false">IFERROR(SUM(Z15:AB15),0)</f>
        <v>0</v>
      </c>
      <c r="AD15" s="61" t="n">
        <f aca="false">IFERROR(E15+I15+M15+Q15+U15+Y15+AC15,0)</f>
        <v>0</v>
      </c>
      <c r="AE15" s="62" t="n">
        <f aca="false">IFERROR(SUMPRODUCT((T_Standards[מחלקה]=$A15)*T_Standards[תקן])*7,0)</f>
        <v>0</v>
      </c>
      <c r="AF15" s="63" t="n">
        <f aca="false">IFERROR(AE15-AD15,0)</f>
        <v>0</v>
      </c>
    </row>
    <row r="16" customFormat="false" ht="15" hidden="false" customHeight="true" outlineLevel="0" collapsed="false">
      <c r="A16" s="59" t="str">
        <f aca="false">IFERROR(INDEX(T_Depts[מחלקה],9),"")</f>
        <v/>
      </c>
      <c r="B16" s="34" t="n">
        <f aca="false">IFERROR(COUNTIFS(T_Assign[תאריך],B6,T_Assign[משמרת],"בוקר",T_Assign[מחלקה],$A16),0)</f>
        <v>0</v>
      </c>
      <c r="C16" s="34" t="n">
        <f aca="false">IFERROR(COUNTIFS(T_Assign[תאריך],B6,T_Assign[משמרת],"אמצע",T_Assign[מחלקה],$A16),0)</f>
        <v>0</v>
      </c>
      <c r="D16" s="34" t="n">
        <f aca="false">IFERROR(COUNTIFS(T_Assign[תאריך],B6,T_Assign[משמרת],"ערב",T_Assign[מחלקה],$A16),0)</f>
        <v>0</v>
      </c>
      <c r="E16" s="60" t="n">
        <f aca="false">IFERROR(SUM(B16:D16),0)</f>
        <v>0</v>
      </c>
      <c r="F16" s="34" t="n">
        <f aca="false">IFERROR(COUNTIFS(T_Assign[תאריך],F6,T_Assign[משמרת],"בוקר",T_Assign[מחלקה],$A16),0)</f>
        <v>0</v>
      </c>
      <c r="G16" s="34" t="n">
        <f aca="false">IFERROR(COUNTIFS(T_Assign[תאריך],F6,T_Assign[משמרת],"אמצע",T_Assign[מחלקה],$A16),0)</f>
        <v>0</v>
      </c>
      <c r="H16" s="34" t="n">
        <f aca="false">IFERROR(COUNTIFS(T_Assign[תאריך],F6,T_Assign[משמרת],"ערב",T_Assign[מחלקה],$A16),0)</f>
        <v>0</v>
      </c>
      <c r="I16" s="60" t="n">
        <f aca="false">IFERROR(SUM(F16:H16),0)</f>
        <v>0</v>
      </c>
      <c r="J16" s="34" t="n">
        <f aca="false">IFERROR(COUNTIFS(T_Assign[תאריך],J6,T_Assign[משמרת],"בוקר",T_Assign[מחלקה],$A16),0)</f>
        <v>0</v>
      </c>
      <c r="K16" s="34" t="n">
        <f aca="false">IFERROR(COUNTIFS(T_Assign[תאריך],J6,T_Assign[משמרת],"אמצע",T_Assign[מחלקה],$A16),0)</f>
        <v>0</v>
      </c>
      <c r="L16" s="34" t="n">
        <f aca="false">IFERROR(COUNTIFS(T_Assign[תאריך],J6,T_Assign[משמרת],"ערב",T_Assign[מחלקה],$A16),0)</f>
        <v>0</v>
      </c>
      <c r="M16" s="60" t="n">
        <f aca="false">IFERROR(SUM(J16:L16),0)</f>
        <v>0</v>
      </c>
      <c r="N16" s="34" t="n">
        <f aca="false">IFERROR(COUNTIFS(T_Assign[תאריך],N6,T_Assign[משמרת],"בוקר",T_Assign[מחלקה],$A16),0)</f>
        <v>0</v>
      </c>
      <c r="O16" s="34" t="n">
        <f aca="false">IFERROR(COUNTIFS(T_Assign[תאריך],N6,T_Assign[משמרת],"אמצע",T_Assign[מחלקה],$A16),0)</f>
        <v>0</v>
      </c>
      <c r="P16" s="34" t="n">
        <f aca="false">IFERROR(COUNTIFS(T_Assign[תאריך],N6,T_Assign[משמרת],"ערב",T_Assign[מחלקה],$A16),0)</f>
        <v>0</v>
      </c>
      <c r="Q16" s="60" t="n">
        <f aca="false">IFERROR(SUM(N16:P16),0)</f>
        <v>0</v>
      </c>
      <c r="R16" s="34" t="n">
        <f aca="false">IFERROR(COUNTIFS(T_Assign[תאריך],R6,T_Assign[משמרת],"בוקר",T_Assign[מחלקה],$A16),0)</f>
        <v>0</v>
      </c>
      <c r="S16" s="34" t="n">
        <f aca="false">IFERROR(COUNTIFS(T_Assign[תאריך],R6,T_Assign[משמרת],"אמצע",T_Assign[מחלקה],$A16),0)</f>
        <v>0</v>
      </c>
      <c r="T16" s="34" t="n">
        <f aca="false">IFERROR(COUNTIFS(T_Assign[תאריך],R6,T_Assign[משמרת],"ערב",T_Assign[מחלקה],$A16),0)</f>
        <v>0</v>
      </c>
      <c r="U16" s="60" t="n">
        <f aca="false">IFERROR(SUM(R16:T16),0)</f>
        <v>0</v>
      </c>
      <c r="V16" s="34" t="n">
        <f aca="false">IFERROR(COUNTIFS(T_Assign[תאריך],V6,T_Assign[משמרת],"בוקר",T_Assign[מחלקה],$A16),0)</f>
        <v>0</v>
      </c>
      <c r="W16" s="34" t="n">
        <f aca="false">IFERROR(COUNTIFS(T_Assign[תאריך],V6,T_Assign[משמרת],"אמצע",T_Assign[מחלקה],$A16),0)</f>
        <v>0</v>
      </c>
      <c r="X16" s="34" t="n">
        <f aca="false">IFERROR(COUNTIFS(T_Assign[תאריך],V6,T_Assign[משמרת],"ערב",T_Assign[מחלקה],$A16),0)</f>
        <v>0</v>
      </c>
      <c r="Y16" s="60" t="n">
        <f aca="false">IFERROR(SUM(V16:X16),0)</f>
        <v>0</v>
      </c>
      <c r="Z16" s="34" t="n">
        <f aca="false">IFERROR(COUNTIFS(T_Assign[תאריך],Z6,T_Assign[משמרת],"בוקר",T_Assign[מחלקה],$A16),0)</f>
        <v>0</v>
      </c>
      <c r="AA16" s="34" t="n">
        <f aca="false">IFERROR(COUNTIFS(T_Assign[תאריך],Z6,T_Assign[משמרת],"אמצע",T_Assign[מחלקה],$A16),0)</f>
        <v>0</v>
      </c>
      <c r="AB16" s="34" t="n">
        <f aca="false">IFERROR(COUNTIFS(T_Assign[תאריך],Z6,T_Assign[משמרת],"ערב",T_Assign[מחלקה],$A16),0)</f>
        <v>0</v>
      </c>
      <c r="AC16" s="60" t="n">
        <f aca="false">IFERROR(SUM(Z16:AB16),0)</f>
        <v>0</v>
      </c>
      <c r="AD16" s="61" t="n">
        <f aca="false">IFERROR(E16+I16+M16+Q16+U16+Y16+AC16,0)</f>
        <v>0</v>
      </c>
      <c r="AE16" s="62" t="n">
        <f aca="false">IFERROR(SUMPRODUCT((T_Standards[מחלקה]=$A16)*T_Standards[תקן])*7,0)</f>
        <v>0</v>
      </c>
      <c r="AF16" s="63" t="n">
        <f aca="false">IFERROR(AE16-AD16,0)</f>
        <v>0</v>
      </c>
    </row>
    <row r="17" customFormat="false" ht="15" hidden="false" customHeight="true" outlineLevel="0" collapsed="false">
      <c r="A17" s="59" t="str">
        <f aca="false">IFERROR(INDEX(T_Depts[מחלקה],10),"")</f>
        <v/>
      </c>
      <c r="B17" s="64" t="n">
        <f aca="false">IFERROR(COUNTIFS(T_Assign[תאריך],B6,T_Assign[משמרת],"בוקר",T_Assign[מחלקה],$A17),0)</f>
        <v>0</v>
      </c>
      <c r="C17" s="64" t="n">
        <f aca="false">IFERROR(COUNTIFS(T_Assign[תאריך],B6,T_Assign[משמרת],"אמצע",T_Assign[מחלקה],$A17),0)</f>
        <v>0</v>
      </c>
      <c r="D17" s="64" t="n">
        <f aca="false">IFERROR(COUNTIFS(T_Assign[תאריך],B6,T_Assign[משמרת],"ערב",T_Assign[מחלקה],$A17),0)</f>
        <v>0</v>
      </c>
      <c r="E17" s="60" t="n">
        <f aca="false">IFERROR(SUM(B17:D17),0)</f>
        <v>0</v>
      </c>
      <c r="F17" s="64" t="n">
        <f aca="false">IFERROR(COUNTIFS(T_Assign[תאריך],F6,T_Assign[משמרת],"בוקר",T_Assign[מחלקה],$A17),0)</f>
        <v>0</v>
      </c>
      <c r="G17" s="64" t="n">
        <f aca="false">IFERROR(COUNTIFS(T_Assign[תאריך],F6,T_Assign[משמרת],"אמצע",T_Assign[מחלקה],$A17),0)</f>
        <v>0</v>
      </c>
      <c r="H17" s="64" t="n">
        <f aca="false">IFERROR(COUNTIFS(T_Assign[תאריך],F6,T_Assign[משמרת],"ערב",T_Assign[מחלקה],$A17),0)</f>
        <v>0</v>
      </c>
      <c r="I17" s="60" t="n">
        <f aca="false">IFERROR(SUM(F17:H17),0)</f>
        <v>0</v>
      </c>
      <c r="J17" s="64" t="n">
        <f aca="false">IFERROR(COUNTIFS(T_Assign[תאריך],J6,T_Assign[משמרת],"בוקר",T_Assign[מחלקה],$A17),0)</f>
        <v>0</v>
      </c>
      <c r="K17" s="64" t="n">
        <f aca="false">IFERROR(COUNTIFS(T_Assign[תאריך],J6,T_Assign[משמרת],"אמצע",T_Assign[מחלקה],$A17),0)</f>
        <v>0</v>
      </c>
      <c r="L17" s="64" t="n">
        <f aca="false">IFERROR(COUNTIFS(T_Assign[תאריך],J6,T_Assign[משמרת],"ערב",T_Assign[מחלקה],$A17),0)</f>
        <v>0</v>
      </c>
      <c r="M17" s="60" t="n">
        <f aca="false">IFERROR(SUM(J17:L17),0)</f>
        <v>0</v>
      </c>
      <c r="N17" s="64" t="n">
        <f aca="false">IFERROR(COUNTIFS(T_Assign[תאריך],N6,T_Assign[משמרת],"בוקר",T_Assign[מחלקה],$A17),0)</f>
        <v>0</v>
      </c>
      <c r="O17" s="64" t="n">
        <f aca="false">IFERROR(COUNTIFS(T_Assign[תאריך],N6,T_Assign[משמרת],"אמצע",T_Assign[מחלקה],$A17),0)</f>
        <v>0</v>
      </c>
      <c r="P17" s="64" t="n">
        <f aca="false">IFERROR(COUNTIFS(T_Assign[תאריך],N6,T_Assign[משמרת],"ערב",T_Assign[מחלקה],$A17),0)</f>
        <v>0</v>
      </c>
      <c r="Q17" s="60" t="n">
        <f aca="false">IFERROR(SUM(N17:P17),0)</f>
        <v>0</v>
      </c>
      <c r="R17" s="64" t="n">
        <f aca="false">IFERROR(COUNTIFS(T_Assign[תאריך],R6,T_Assign[משמרת],"בוקר",T_Assign[מחלקה],$A17),0)</f>
        <v>0</v>
      </c>
      <c r="S17" s="64" t="n">
        <f aca="false">IFERROR(COUNTIFS(T_Assign[תאריך],R6,T_Assign[משמרת],"אמצע",T_Assign[מחלקה],$A17),0)</f>
        <v>0</v>
      </c>
      <c r="T17" s="64" t="n">
        <f aca="false">IFERROR(COUNTIFS(T_Assign[תאריך],R6,T_Assign[משמרת],"ערב",T_Assign[מחלקה],$A17),0)</f>
        <v>0</v>
      </c>
      <c r="U17" s="60" t="n">
        <f aca="false">IFERROR(SUM(R17:T17),0)</f>
        <v>0</v>
      </c>
      <c r="V17" s="64" t="n">
        <f aca="false">IFERROR(COUNTIFS(T_Assign[תאריך],V6,T_Assign[משמרת],"בוקר",T_Assign[מחלקה],$A17),0)</f>
        <v>0</v>
      </c>
      <c r="W17" s="64" t="n">
        <f aca="false">IFERROR(COUNTIFS(T_Assign[תאריך],V6,T_Assign[משמרת],"אמצע",T_Assign[מחלקה],$A17),0)</f>
        <v>0</v>
      </c>
      <c r="X17" s="64" t="n">
        <f aca="false">IFERROR(COUNTIFS(T_Assign[תאריך],V6,T_Assign[משמרת],"ערב",T_Assign[מחלקה],$A17),0)</f>
        <v>0</v>
      </c>
      <c r="Y17" s="60" t="n">
        <f aca="false">IFERROR(SUM(V17:X17),0)</f>
        <v>0</v>
      </c>
      <c r="Z17" s="64" t="n">
        <f aca="false">IFERROR(COUNTIFS(T_Assign[תאריך],Z6,T_Assign[משמרת],"בוקר",T_Assign[מחלקה],$A17),0)</f>
        <v>0</v>
      </c>
      <c r="AA17" s="64" t="n">
        <f aca="false">IFERROR(COUNTIFS(T_Assign[תאריך],Z6,T_Assign[משמרת],"אמצע",T_Assign[מחלקה],$A17),0)</f>
        <v>0</v>
      </c>
      <c r="AB17" s="64" t="n">
        <f aca="false">IFERROR(COUNTIFS(T_Assign[תאריך],Z6,T_Assign[משמרת],"ערב",T_Assign[מחלקה],$A17),0)</f>
        <v>0</v>
      </c>
      <c r="AC17" s="60" t="n">
        <f aca="false">IFERROR(SUM(Z17:AB17),0)</f>
        <v>0</v>
      </c>
      <c r="AD17" s="61" t="n">
        <f aca="false">IFERROR(E17+I17+M17+Q17+U17+Y17+AC17,0)</f>
        <v>0</v>
      </c>
      <c r="AE17" s="62" t="n">
        <f aca="false">IFERROR(SUMPRODUCT((T_Standards[מחלקה]=$A17)*T_Standards[תקן])*7,0)</f>
        <v>0</v>
      </c>
      <c r="AF17" s="63" t="n">
        <f aca="false">IFERROR(AE17-AD17,0)</f>
        <v>0</v>
      </c>
    </row>
    <row r="18" customFormat="false" ht="15" hidden="false" customHeight="true" outlineLevel="0" collapsed="false">
      <c r="A18" s="59" t="str">
        <f aca="false">IFERROR(INDEX(T_Depts[מחלקה],11),"")</f>
        <v/>
      </c>
      <c r="B18" s="34" t="n">
        <f aca="false">IFERROR(COUNTIFS(T_Assign[תאריך],B6,T_Assign[משמרת],"בוקר",T_Assign[מחלקה],$A18),0)</f>
        <v>0</v>
      </c>
      <c r="C18" s="34" t="n">
        <f aca="false">IFERROR(COUNTIFS(T_Assign[תאריך],B6,T_Assign[משמרת],"אמצע",T_Assign[מחלקה],$A18),0)</f>
        <v>0</v>
      </c>
      <c r="D18" s="34" t="n">
        <f aca="false">IFERROR(COUNTIFS(T_Assign[תאריך],B6,T_Assign[משמרת],"ערב",T_Assign[מחלקה],$A18),0)</f>
        <v>0</v>
      </c>
      <c r="E18" s="60" t="n">
        <f aca="false">IFERROR(SUM(B18:D18),0)</f>
        <v>0</v>
      </c>
      <c r="F18" s="34" t="n">
        <f aca="false">IFERROR(COUNTIFS(T_Assign[תאריך],F6,T_Assign[משמרת],"בוקר",T_Assign[מחלקה],$A18),0)</f>
        <v>0</v>
      </c>
      <c r="G18" s="34" t="n">
        <f aca="false">IFERROR(COUNTIFS(T_Assign[תאריך],F6,T_Assign[משמרת],"אמצע",T_Assign[מחלקה],$A18),0)</f>
        <v>0</v>
      </c>
      <c r="H18" s="34" t="n">
        <f aca="false">IFERROR(COUNTIFS(T_Assign[תאריך],F6,T_Assign[משמרת],"ערב",T_Assign[מחלקה],$A18),0)</f>
        <v>0</v>
      </c>
      <c r="I18" s="60" t="n">
        <f aca="false">IFERROR(SUM(F18:H18),0)</f>
        <v>0</v>
      </c>
      <c r="J18" s="34" t="n">
        <f aca="false">IFERROR(COUNTIFS(T_Assign[תאריך],J6,T_Assign[משמרת],"בוקר",T_Assign[מחלקה],$A18),0)</f>
        <v>0</v>
      </c>
      <c r="K18" s="34" t="n">
        <f aca="false">IFERROR(COUNTIFS(T_Assign[תאריך],J6,T_Assign[משמרת],"אמצע",T_Assign[מחלקה],$A18),0)</f>
        <v>0</v>
      </c>
      <c r="L18" s="34" t="n">
        <f aca="false">IFERROR(COUNTIFS(T_Assign[תאריך],J6,T_Assign[משמרת],"ערב",T_Assign[מחלקה],$A18),0)</f>
        <v>0</v>
      </c>
      <c r="M18" s="60" t="n">
        <f aca="false">IFERROR(SUM(J18:L18),0)</f>
        <v>0</v>
      </c>
      <c r="N18" s="34" t="n">
        <f aca="false">IFERROR(COUNTIFS(T_Assign[תאריך],N6,T_Assign[משמרת],"בוקר",T_Assign[מחלקה],$A18),0)</f>
        <v>0</v>
      </c>
      <c r="O18" s="34" t="n">
        <f aca="false">IFERROR(COUNTIFS(T_Assign[תאריך],N6,T_Assign[משמרת],"אמצע",T_Assign[מחלקה],$A18),0)</f>
        <v>0</v>
      </c>
      <c r="P18" s="34" t="n">
        <f aca="false">IFERROR(COUNTIFS(T_Assign[תאריך],N6,T_Assign[משמרת],"ערב",T_Assign[מחלקה],$A18),0)</f>
        <v>0</v>
      </c>
      <c r="Q18" s="60" t="n">
        <f aca="false">IFERROR(SUM(N18:P18),0)</f>
        <v>0</v>
      </c>
      <c r="R18" s="34" t="n">
        <f aca="false">IFERROR(COUNTIFS(T_Assign[תאריך],R6,T_Assign[משמרת],"בוקר",T_Assign[מחלקה],$A18),0)</f>
        <v>0</v>
      </c>
      <c r="S18" s="34" t="n">
        <f aca="false">IFERROR(COUNTIFS(T_Assign[תאריך],R6,T_Assign[משמרת],"אמצע",T_Assign[מחלקה],$A18),0)</f>
        <v>0</v>
      </c>
      <c r="T18" s="34" t="n">
        <f aca="false">IFERROR(COUNTIFS(T_Assign[תאריך],R6,T_Assign[משמרת],"ערב",T_Assign[מחלקה],$A18),0)</f>
        <v>0</v>
      </c>
      <c r="U18" s="60" t="n">
        <f aca="false">IFERROR(SUM(R18:T18),0)</f>
        <v>0</v>
      </c>
      <c r="V18" s="34" t="n">
        <f aca="false">IFERROR(COUNTIFS(T_Assign[תאריך],V6,T_Assign[משמרת],"בוקר",T_Assign[מחלקה],$A18),0)</f>
        <v>0</v>
      </c>
      <c r="W18" s="34" t="n">
        <f aca="false">IFERROR(COUNTIFS(T_Assign[תאריך],V6,T_Assign[משמרת],"אמצע",T_Assign[מחלקה],$A18),0)</f>
        <v>0</v>
      </c>
      <c r="X18" s="34" t="n">
        <f aca="false">IFERROR(COUNTIFS(T_Assign[תאריך],V6,T_Assign[משמרת],"ערב",T_Assign[מחלקה],$A18),0)</f>
        <v>0</v>
      </c>
      <c r="Y18" s="60" t="n">
        <f aca="false">IFERROR(SUM(V18:X18),0)</f>
        <v>0</v>
      </c>
      <c r="Z18" s="34" t="n">
        <f aca="false">IFERROR(COUNTIFS(T_Assign[תאריך],Z6,T_Assign[משמרת],"בוקר",T_Assign[מחלקה],$A18),0)</f>
        <v>0</v>
      </c>
      <c r="AA18" s="34" t="n">
        <f aca="false">IFERROR(COUNTIFS(T_Assign[תאריך],Z6,T_Assign[משמרת],"אמצע",T_Assign[מחלקה],$A18),0)</f>
        <v>0</v>
      </c>
      <c r="AB18" s="34" t="n">
        <f aca="false">IFERROR(COUNTIFS(T_Assign[תאריך],Z6,T_Assign[משמרת],"ערב",T_Assign[מחלקה],$A18),0)</f>
        <v>0</v>
      </c>
      <c r="AC18" s="60" t="n">
        <f aca="false">IFERROR(SUM(Z18:AB18),0)</f>
        <v>0</v>
      </c>
      <c r="AD18" s="61" t="n">
        <f aca="false">IFERROR(E18+I18+M18+Q18+U18+Y18+AC18,0)</f>
        <v>0</v>
      </c>
      <c r="AE18" s="62" t="n">
        <f aca="false">IFERROR(SUMPRODUCT((T_Standards[מחלקה]=$A18)*T_Standards[תקן])*7,0)</f>
        <v>0</v>
      </c>
      <c r="AF18" s="63" t="n">
        <f aca="false">IFERROR(AE18-AD18,0)</f>
        <v>0</v>
      </c>
    </row>
    <row r="19" customFormat="false" ht="15" hidden="false" customHeight="true" outlineLevel="0" collapsed="false">
      <c r="A19" s="59" t="str">
        <f aca="false">IFERROR(INDEX(T_Depts[מחלקה],12),"")</f>
        <v/>
      </c>
      <c r="B19" s="64" t="n">
        <f aca="false">IFERROR(COUNTIFS(T_Assign[תאריך],B6,T_Assign[משמרת],"בוקר",T_Assign[מחלקה],$A19),0)</f>
        <v>0</v>
      </c>
      <c r="C19" s="64" t="n">
        <f aca="false">IFERROR(COUNTIFS(T_Assign[תאריך],B6,T_Assign[משמרת],"אמצע",T_Assign[מחלקה],$A19),0)</f>
        <v>0</v>
      </c>
      <c r="D19" s="64" t="n">
        <f aca="false">IFERROR(COUNTIFS(T_Assign[תאריך],B6,T_Assign[משמרת],"ערב",T_Assign[מחלקה],$A19),0)</f>
        <v>0</v>
      </c>
      <c r="E19" s="60" t="n">
        <f aca="false">IFERROR(SUM(B19:D19),0)</f>
        <v>0</v>
      </c>
      <c r="F19" s="64" t="n">
        <f aca="false">IFERROR(COUNTIFS(T_Assign[תאריך],F6,T_Assign[משמרת],"בוקר",T_Assign[מחלקה],$A19),0)</f>
        <v>0</v>
      </c>
      <c r="G19" s="64" t="n">
        <f aca="false">IFERROR(COUNTIFS(T_Assign[תאריך],F6,T_Assign[משמרת],"אמצע",T_Assign[מחלקה],$A19),0)</f>
        <v>0</v>
      </c>
      <c r="H19" s="64" t="n">
        <f aca="false">IFERROR(COUNTIFS(T_Assign[תאריך],F6,T_Assign[משמרת],"ערב",T_Assign[מחלקה],$A19),0)</f>
        <v>0</v>
      </c>
      <c r="I19" s="60" t="n">
        <f aca="false">IFERROR(SUM(F19:H19),0)</f>
        <v>0</v>
      </c>
      <c r="J19" s="64" t="n">
        <f aca="false">IFERROR(COUNTIFS(T_Assign[תאריך],J6,T_Assign[משמרת],"בוקר",T_Assign[מחלקה],$A19),0)</f>
        <v>0</v>
      </c>
      <c r="K19" s="64" t="n">
        <f aca="false">IFERROR(COUNTIFS(T_Assign[תאריך],J6,T_Assign[משמרת],"אמצע",T_Assign[מחלקה],$A19),0)</f>
        <v>0</v>
      </c>
      <c r="L19" s="64" t="n">
        <f aca="false">IFERROR(COUNTIFS(T_Assign[תאריך],J6,T_Assign[משמרת],"ערב",T_Assign[מחלקה],$A19),0)</f>
        <v>0</v>
      </c>
      <c r="M19" s="60" t="n">
        <f aca="false">IFERROR(SUM(J19:L19),0)</f>
        <v>0</v>
      </c>
      <c r="N19" s="64" t="n">
        <f aca="false">IFERROR(COUNTIFS(T_Assign[תאריך],N6,T_Assign[משמרת],"בוקר",T_Assign[מחלקה],$A19),0)</f>
        <v>0</v>
      </c>
      <c r="O19" s="64" t="n">
        <f aca="false">IFERROR(COUNTIFS(T_Assign[תאריך],N6,T_Assign[משמרת],"אמצע",T_Assign[מחלקה],$A19),0)</f>
        <v>0</v>
      </c>
      <c r="P19" s="64" t="n">
        <f aca="false">IFERROR(COUNTIFS(T_Assign[תאריך],N6,T_Assign[משמרת],"ערב",T_Assign[מחלקה],$A19),0)</f>
        <v>0</v>
      </c>
      <c r="Q19" s="60" t="n">
        <f aca="false">IFERROR(SUM(N19:P19),0)</f>
        <v>0</v>
      </c>
      <c r="R19" s="64" t="n">
        <f aca="false">IFERROR(COUNTIFS(T_Assign[תאריך],R6,T_Assign[משמרת],"בוקר",T_Assign[מחלקה],$A19),0)</f>
        <v>0</v>
      </c>
      <c r="S19" s="64" t="n">
        <f aca="false">IFERROR(COUNTIFS(T_Assign[תאריך],R6,T_Assign[משמרת],"אמצע",T_Assign[מחלקה],$A19),0)</f>
        <v>0</v>
      </c>
      <c r="T19" s="64" t="n">
        <f aca="false">IFERROR(COUNTIFS(T_Assign[תאריך],R6,T_Assign[משמרת],"ערב",T_Assign[מחלקה],$A19),0)</f>
        <v>0</v>
      </c>
      <c r="U19" s="60" t="n">
        <f aca="false">IFERROR(SUM(R19:T19),0)</f>
        <v>0</v>
      </c>
      <c r="V19" s="64" t="n">
        <f aca="false">IFERROR(COUNTIFS(T_Assign[תאריך],V6,T_Assign[משמרת],"בוקר",T_Assign[מחלקה],$A19),0)</f>
        <v>0</v>
      </c>
      <c r="W19" s="64" t="n">
        <f aca="false">IFERROR(COUNTIFS(T_Assign[תאריך],V6,T_Assign[משמרת],"אמצע",T_Assign[מחלקה],$A19),0)</f>
        <v>0</v>
      </c>
      <c r="X19" s="64" t="n">
        <f aca="false">IFERROR(COUNTIFS(T_Assign[תאריך],V6,T_Assign[משמרת],"ערב",T_Assign[מחלקה],$A19),0)</f>
        <v>0</v>
      </c>
      <c r="Y19" s="60" t="n">
        <f aca="false">IFERROR(SUM(V19:X19),0)</f>
        <v>0</v>
      </c>
      <c r="Z19" s="64" t="n">
        <f aca="false">IFERROR(COUNTIFS(T_Assign[תאריך],Z6,T_Assign[משמרת],"בוקר",T_Assign[מחלקה],$A19),0)</f>
        <v>0</v>
      </c>
      <c r="AA19" s="64" t="n">
        <f aca="false">IFERROR(COUNTIFS(T_Assign[תאריך],Z6,T_Assign[משמרת],"אמצע",T_Assign[מחלקה],$A19),0)</f>
        <v>0</v>
      </c>
      <c r="AB19" s="64" t="n">
        <f aca="false">IFERROR(COUNTIFS(T_Assign[תאריך],Z6,T_Assign[משמרת],"ערב",T_Assign[מחלקה],$A19),0)</f>
        <v>0</v>
      </c>
      <c r="AC19" s="60" t="n">
        <f aca="false">IFERROR(SUM(Z19:AB19),0)</f>
        <v>0</v>
      </c>
      <c r="AD19" s="61" t="n">
        <f aca="false">IFERROR(E19+I19+M19+Q19+U19+Y19+AC19,0)</f>
        <v>0</v>
      </c>
      <c r="AE19" s="62" t="n">
        <f aca="false">IFERROR(SUMPRODUCT((T_Standards[מחלקה]=$A19)*T_Standards[תקן])*7,0)</f>
        <v>0</v>
      </c>
      <c r="AF19" s="63" t="n">
        <f aca="false">IFERROR(AE19-AD19,0)</f>
        <v>0</v>
      </c>
    </row>
    <row r="20" customFormat="false" ht="15" hidden="false" customHeight="true" outlineLevel="0" collapsed="false">
      <c r="A20" s="59" t="str">
        <f aca="false">IFERROR(INDEX(T_Depts[מחלקה],13),"")</f>
        <v/>
      </c>
      <c r="B20" s="34" t="n">
        <f aca="false">IFERROR(COUNTIFS(T_Assign[תאריך],B6,T_Assign[משמרת],"בוקר",T_Assign[מחלקה],$A20),0)</f>
        <v>0</v>
      </c>
      <c r="C20" s="34" t="n">
        <f aca="false">IFERROR(COUNTIFS(T_Assign[תאריך],B6,T_Assign[משמרת],"אמצע",T_Assign[מחלקה],$A20),0)</f>
        <v>0</v>
      </c>
      <c r="D20" s="34" t="n">
        <f aca="false">IFERROR(COUNTIFS(T_Assign[תאריך],B6,T_Assign[משמרת],"ערב",T_Assign[מחלקה],$A20),0)</f>
        <v>0</v>
      </c>
      <c r="E20" s="60" t="n">
        <f aca="false">IFERROR(SUM(B20:D20),0)</f>
        <v>0</v>
      </c>
      <c r="F20" s="34" t="n">
        <f aca="false">IFERROR(COUNTIFS(T_Assign[תאריך],F6,T_Assign[משמרת],"בוקר",T_Assign[מחלקה],$A20),0)</f>
        <v>0</v>
      </c>
      <c r="G20" s="34" t="n">
        <f aca="false">IFERROR(COUNTIFS(T_Assign[תאריך],F6,T_Assign[משמרת],"אמצע",T_Assign[מחלקה],$A20),0)</f>
        <v>0</v>
      </c>
      <c r="H20" s="34" t="n">
        <f aca="false">IFERROR(COUNTIFS(T_Assign[תאריך],F6,T_Assign[משמרת],"ערב",T_Assign[מחלקה],$A20),0)</f>
        <v>0</v>
      </c>
      <c r="I20" s="60" t="n">
        <f aca="false">IFERROR(SUM(F20:H20),0)</f>
        <v>0</v>
      </c>
      <c r="J20" s="34" t="n">
        <f aca="false">IFERROR(COUNTIFS(T_Assign[תאריך],J6,T_Assign[משמרת],"בוקר",T_Assign[מחלקה],$A20),0)</f>
        <v>0</v>
      </c>
      <c r="K20" s="34" t="n">
        <f aca="false">IFERROR(COUNTIFS(T_Assign[תאריך],J6,T_Assign[משמרת],"אמצע",T_Assign[מחלקה],$A20),0)</f>
        <v>0</v>
      </c>
      <c r="L20" s="34" t="n">
        <f aca="false">IFERROR(COUNTIFS(T_Assign[תאריך],J6,T_Assign[משמרת],"ערב",T_Assign[מחלקה],$A20),0)</f>
        <v>0</v>
      </c>
      <c r="M20" s="60" t="n">
        <f aca="false">IFERROR(SUM(J20:L20),0)</f>
        <v>0</v>
      </c>
      <c r="N20" s="34" t="n">
        <f aca="false">IFERROR(COUNTIFS(T_Assign[תאריך],N6,T_Assign[משמרת],"בוקר",T_Assign[מחלקה],$A20),0)</f>
        <v>0</v>
      </c>
      <c r="O20" s="34" t="n">
        <f aca="false">IFERROR(COUNTIFS(T_Assign[תאריך],N6,T_Assign[משמרת],"אמצע",T_Assign[מחלקה],$A20),0)</f>
        <v>0</v>
      </c>
      <c r="P20" s="34" t="n">
        <f aca="false">IFERROR(COUNTIFS(T_Assign[תאריך],N6,T_Assign[משמרת],"ערב",T_Assign[מחלקה],$A20),0)</f>
        <v>0</v>
      </c>
      <c r="Q20" s="60" t="n">
        <f aca="false">IFERROR(SUM(N20:P20),0)</f>
        <v>0</v>
      </c>
      <c r="R20" s="34" t="n">
        <f aca="false">IFERROR(COUNTIFS(T_Assign[תאריך],R6,T_Assign[משמרת],"בוקר",T_Assign[מחלקה],$A20),0)</f>
        <v>0</v>
      </c>
      <c r="S20" s="34" t="n">
        <f aca="false">IFERROR(COUNTIFS(T_Assign[תאריך],R6,T_Assign[משמרת],"אמצע",T_Assign[מחלקה],$A20),0)</f>
        <v>0</v>
      </c>
      <c r="T20" s="34" t="n">
        <f aca="false">IFERROR(COUNTIFS(T_Assign[תאריך],R6,T_Assign[משמרת],"ערב",T_Assign[מחלקה],$A20),0)</f>
        <v>0</v>
      </c>
      <c r="U20" s="60" t="n">
        <f aca="false">IFERROR(SUM(R20:T20),0)</f>
        <v>0</v>
      </c>
      <c r="V20" s="34" t="n">
        <f aca="false">IFERROR(COUNTIFS(T_Assign[תאריך],V6,T_Assign[משמרת],"בוקר",T_Assign[מחלקה],$A20),0)</f>
        <v>0</v>
      </c>
      <c r="W20" s="34" t="n">
        <f aca="false">IFERROR(COUNTIFS(T_Assign[תאריך],V6,T_Assign[משמרת],"אמצע",T_Assign[מחלקה],$A20),0)</f>
        <v>0</v>
      </c>
      <c r="X20" s="34" t="n">
        <f aca="false">IFERROR(COUNTIFS(T_Assign[תאריך],V6,T_Assign[משמרת],"ערב",T_Assign[מחלקה],$A20),0)</f>
        <v>0</v>
      </c>
      <c r="Y20" s="60" t="n">
        <f aca="false">IFERROR(SUM(V20:X20),0)</f>
        <v>0</v>
      </c>
      <c r="Z20" s="34" t="n">
        <f aca="false">IFERROR(COUNTIFS(T_Assign[תאריך],Z6,T_Assign[משמרת],"בוקר",T_Assign[מחלקה],$A20),0)</f>
        <v>0</v>
      </c>
      <c r="AA20" s="34" t="n">
        <f aca="false">IFERROR(COUNTIFS(T_Assign[תאריך],Z6,T_Assign[משמרת],"אמצע",T_Assign[מחלקה],$A20),0)</f>
        <v>0</v>
      </c>
      <c r="AB20" s="34" t="n">
        <f aca="false">IFERROR(COUNTIFS(T_Assign[תאריך],Z6,T_Assign[משמרת],"ערב",T_Assign[מחלקה],$A20),0)</f>
        <v>0</v>
      </c>
      <c r="AC20" s="60" t="n">
        <f aca="false">IFERROR(SUM(Z20:AB20),0)</f>
        <v>0</v>
      </c>
      <c r="AD20" s="61" t="n">
        <f aca="false">IFERROR(E20+I20+M20+Q20+U20+Y20+AC20,0)</f>
        <v>0</v>
      </c>
      <c r="AE20" s="62" t="n">
        <f aca="false">IFERROR(SUMPRODUCT((T_Standards[מחלקה]=$A20)*T_Standards[תקן])*7,0)</f>
        <v>0</v>
      </c>
      <c r="AF20" s="63" t="n">
        <f aca="false">IFERROR(AE20-AD20,0)</f>
        <v>0</v>
      </c>
    </row>
    <row r="21" customFormat="false" ht="15" hidden="false" customHeight="true" outlineLevel="0" collapsed="false">
      <c r="A21" s="59" t="str">
        <f aca="false">IFERROR(INDEX(T_Depts[מחלקה],14),"")</f>
        <v/>
      </c>
      <c r="B21" s="64" t="n">
        <f aca="false">IFERROR(COUNTIFS(T_Assign[תאריך],B6,T_Assign[משמרת],"בוקר",T_Assign[מחלקה],$A21),0)</f>
        <v>0</v>
      </c>
      <c r="C21" s="64" t="n">
        <f aca="false">IFERROR(COUNTIFS(T_Assign[תאריך],B6,T_Assign[משמרת],"אמצע",T_Assign[מחלקה],$A21),0)</f>
        <v>0</v>
      </c>
      <c r="D21" s="64" t="n">
        <f aca="false">IFERROR(COUNTIFS(T_Assign[תאריך],B6,T_Assign[משמרת],"ערב",T_Assign[מחלקה],$A21),0)</f>
        <v>0</v>
      </c>
      <c r="E21" s="60" t="n">
        <f aca="false">IFERROR(SUM(B21:D21),0)</f>
        <v>0</v>
      </c>
      <c r="F21" s="64" t="n">
        <f aca="false">IFERROR(COUNTIFS(T_Assign[תאריך],F6,T_Assign[משמרת],"בוקר",T_Assign[מחלקה],$A21),0)</f>
        <v>0</v>
      </c>
      <c r="G21" s="64" t="n">
        <f aca="false">IFERROR(COUNTIFS(T_Assign[תאריך],F6,T_Assign[משמרת],"אמצע",T_Assign[מחלקה],$A21),0)</f>
        <v>0</v>
      </c>
      <c r="H21" s="64" t="n">
        <f aca="false">IFERROR(COUNTIFS(T_Assign[תאריך],F6,T_Assign[משמרת],"ערב",T_Assign[מחלקה],$A21),0)</f>
        <v>0</v>
      </c>
      <c r="I21" s="60" t="n">
        <f aca="false">IFERROR(SUM(F21:H21),0)</f>
        <v>0</v>
      </c>
      <c r="J21" s="64" t="n">
        <f aca="false">IFERROR(COUNTIFS(T_Assign[תאריך],J6,T_Assign[משמרת],"בוקר",T_Assign[מחלקה],$A21),0)</f>
        <v>0</v>
      </c>
      <c r="K21" s="64" t="n">
        <f aca="false">IFERROR(COUNTIFS(T_Assign[תאריך],J6,T_Assign[משמרת],"אמצע",T_Assign[מחלקה],$A21),0)</f>
        <v>0</v>
      </c>
      <c r="L21" s="64" t="n">
        <f aca="false">IFERROR(COUNTIFS(T_Assign[תאריך],J6,T_Assign[משמרת],"ערב",T_Assign[מחלקה],$A21),0)</f>
        <v>0</v>
      </c>
      <c r="M21" s="60" t="n">
        <f aca="false">IFERROR(SUM(J21:L21),0)</f>
        <v>0</v>
      </c>
      <c r="N21" s="64" t="n">
        <f aca="false">IFERROR(COUNTIFS(T_Assign[תאריך],N6,T_Assign[משמרת],"בוקר",T_Assign[מחלקה],$A21),0)</f>
        <v>0</v>
      </c>
      <c r="O21" s="64" t="n">
        <f aca="false">IFERROR(COUNTIFS(T_Assign[תאריך],N6,T_Assign[משמרת],"אמצע",T_Assign[מחלקה],$A21),0)</f>
        <v>0</v>
      </c>
      <c r="P21" s="64" t="n">
        <f aca="false">IFERROR(COUNTIFS(T_Assign[תאריך],N6,T_Assign[משמרת],"ערב",T_Assign[מחלקה],$A21),0)</f>
        <v>0</v>
      </c>
      <c r="Q21" s="60" t="n">
        <f aca="false">IFERROR(SUM(N21:P21),0)</f>
        <v>0</v>
      </c>
      <c r="R21" s="64" t="n">
        <f aca="false">IFERROR(COUNTIFS(T_Assign[תאריך],R6,T_Assign[משמרת],"בוקר",T_Assign[מחלקה],$A21),0)</f>
        <v>0</v>
      </c>
      <c r="S21" s="64" t="n">
        <f aca="false">IFERROR(COUNTIFS(T_Assign[תאריך],R6,T_Assign[משמרת],"אמצע",T_Assign[מחלקה],$A21),0)</f>
        <v>0</v>
      </c>
      <c r="T21" s="64" t="n">
        <f aca="false">IFERROR(COUNTIFS(T_Assign[תאריך],R6,T_Assign[משמרת],"ערב",T_Assign[מחלקה],$A21),0)</f>
        <v>0</v>
      </c>
      <c r="U21" s="60" t="n">
        <f aca="false">IFERROR(SUM(R21:T21),0)</f>
        <v>0</v>
      </c>
      <c r="V21" s="64" t="n">
        <f aca="false">IFERROR(COUNTIFS(T_Assign[תאריך],V6,T_Assign[משמרת],"בוקר",T_Assign[מחלקה],$A21),0)</f>
        <v>0</v>
      </c>
      <c r="W21" s="64" t="n">
        <f aca="false">IFERROR(COUNTIFS(T_Assign[תאריך],V6,T_Assign[משמרת],"אמצע",T_Assign[מחלקה],$A21),0)</f>
        <v>0</v>
      </c>
      <c r="X21" s="64" t="n">
        <f aca="false">IFERROR(COUNTIFS(T_Assign[תאריך],V6,T_Assign[משמרת],"ערב",T_Assign[מחלקה],$A21),0)</f>
        <v>0</v>
      </c>
      <c r="Y21" s="60" t="n">
        <f aca="false">IFERROR(SUM(V21:X21),0)</f>
        <v>0</v>
      </c>
      <c r="Z21" s="64" t="n">
        <f aca="false">IFERROR(COUNTIFS(T_Assign[תאריך],Z6,T_Assign[משמרת],"בוקר",T_Assign[מחלקה],$A21),0)</f>
        <v>0</v>
      </c>
      <c r="AA21" s="64" t="n">
        <f aca="false">IFERROR(COUNTIFS(T_Assign[תאריך],Z6,T_Assign[משמרת],"אמצע",T_Assign[מחלקה],$A21),0)</f>
        <v>0</v>
      </c>
      <c r="AB21" s="64" t="n">
        <f aca="false">IFERROR(COUNTIFS(T_Assign[תאריך],Z6,T_Assign[משמרת],"ערב",T_Assign[מחלקה],$A21),0)</f>
        <v>0</v>
      </c>
      <c r="AC21" s="60" t="n">
        <f aca="false">IFERROR(SUM(Z21:AB21),0)</f>
        <v>0</v>
      </c>
      <c r="AD21" s="61" t="n">
        <f aca="false">IFERROR(E21+I21+M21+Q21+U21+Y21+AC21,0)</f>
        <v>0</v>
      </c>
      <c r="AE21" s="62" t="n">
        <f aca="false">IFERROR(SUMPRODUCT((T_Standards[מחלקה]=$A21)*T_Standards[תקן])*7,0)</f>
        <v>0</v>
      </c>
      <c r="AF21" s="63" t="n">
        <f aca="false">IFERROR(AE21-AD21,0)</f>
        <v>0</v>
      </c>
    </row>
    <row r="22" customFormat="false" ht="15" hidden="false" customHeight="true" outlineLevel="0" collapsed="false">
      <c r="A22" s="59" t="str">
        <f aca="false">IFERROR(INDEX(T_Depts[מחלקה],15),"")</f>
        <v/>
      </c>
      <c r="B22" s="34" t="n">
        <f aca="false">IFERROR(COUNTIFS(T_Assign[תאריך],B6,T_Assign[משמרת],"בוקר",T_Assign[מחלקה],$A22),0)</f>
        <v>0</v>
      </c>
      <c r="C22" s="34" t="n">
        <f aca="false">IFERROR(COUNTIFS(T_Assign[תאריך],B6,T_Assign[משמרת],"אמצע",T_Assign[מחלקה],$A22),0)</f>
        <v>0</v>
      </c>
      <c r="D22" s="34" t="n">
        <f aca="false">IFERROR(COUNTIFS(T_Assign[תאריך],B6,T_Assign[משמרת],"ערב",T_Assign[מחלקה],$A22),0)</f>
        <v>0</v>
      </c>
      <c r="E22" s="60" t="n">
        <f aca="false">IFERROR(SUM(B22:D22),0)</f>
        <v>0</v>
      </c>
      <c r="F22" s="34" t="n">
        <f aca="false">IFERROR(COUNTIFS(T_Assign[תאריך],F6,T_Assign[משמרת],"בוקר",T_Assign[מחלקה],$A22),0)</f>
        <v>0</v>
      </c>
      <c r="G22" s="34" t="n">
        <f aca="false">IFERROR(COUNTIFS(T_Assign[תאריך],F6,T_Assign[משמרת],"אמצע",T_Assign[מחלקה],$A22),0)</f>
        <v>0</v>
      </c>
      <c r="H22" s="34" t="n">
        <f aca="false">IFERROR(COUNTIFS(T_Assign[תאריך],F6,T_Assign[משמרת],"ערב",T_Assign[מחלקה],$A22),0)</f>
        <v>0</v>
      </c>
      <c r="I22" s="60" t="n">
        <f aca="false">IFERROR(SUM(F22:H22),0)</f>
        <v>0</v>
      </c>
      <c r="J22" s="34" t="n">
        <f aca="false">IFERROR(COUNTIFS(T_Assign[תאריך],J6,T_Assign[משמרת],"בוקר",T_Assign[מחלקה],$A22),0)</f>
        <v>0</v>
      </c>
      <c r="K22" s="34" t="n">
        <f aca="false">IFERROR(COUNTIFS(T_Assign[תאריך],J6,T_Assign[משמרת],"אמצע",T_Assign[מחלקה],$A22),0)</f>
        <v>0</v>
      </c>
      <c r="L22" s="34" t="n">
        <f aca="false">IFERROR(COUNTIFS(T_Assign[תאריך],J6,T_Assign[משמרת],"ערב",T_Assign[מחלקה],$A22),0)</f>
        <v>0</v>
      </c>
      <c r="M22" s="60" t="n">
        <f aca="false">IFERROR(SUM(J22:L22),0)</f>
        <v>0</v>
      </c>
      <c r="N22" s="34" t="n">
        <f aca="false">IFERROR(COUNTIFS(T_Assign[תאריך],N6,T_Assign[משמרת],"בוקר",T_Assign[מחלקה],$A22),0)</f>
        <v>0</v>
      </c>
      <c r="O22" s="34" t="n">
        <f aca="false">IFERROR(COUNTIFS(T_Assign[תאריך],N6,T_Assign[משמרת],"אמצע",T_Assign[מחלקה],$A22),0)</f>
        <v>0</v>
      </c>
      <c r="P22" s="34" t="n">
        <f aca="false">IFERROR(COUNTIFS(T_Assign[תאריך],N6,T_Assign[משמרת],"ערב",T_Assign[מחלקה],$A22),0)</f>
        <v>0</v>
      </c>
      <c r="Q22" s="60" t="n">
        <f aca="false">IFERROR(SUM(N22:P22),0)</f>
        <v>0</v>
      </c>
      <c r="R22" s="34" t="n">
        <f aca="false">IFERROR(COUNTIFS(T_Assign[תאריך],R6,T_Assign[משמרת],"בוקר",T_Assign[מחלקה],$A22),0)</f>
        <v>0</v>
      </c>
      <c r="S22" s="34" t="n">
        <f aca="false">IFERROR(COUNTIFS(T_Assign[תאריך],R6,T_Assign[משמרת],"אמצע",T_Assign[מחלקה],$A22),0)</f>
        <v>0</v>
      </c>
      <c r="T22" s="34" t="n">
        <f aca="false">IFERROR(COUNTIFS(T_Assign[תאריך],R6,T_Assign[משמרת],"ערב",T_Assign[מחלקה],$A22),0)</f>
        <v>0</v>
      </c>
      <c r="U22" s="60" t="n">
        <f aca="false">IFERROR(SUM(R22:T22),0)</f>
        <v>0</v>
      </c>
      <c r="V22" s="34" t="n">
        <f aca="false">IFERROR(COUNTIFS(T_Assign[תאריך],V6,T_Assign[משמרת],"בוקר",T_Assign[מחלקה],$A22),0)</f>
        <v>0</v>
      </c>
      <c r="W22" s="34" t="n">
        <f aca="false">IFERROR(COUNTIFS(T_Assign[תאריך],V6,T_Assign[משמרת],"אמצע",T_Assign[מחלקה],$A22),0)</f>
        <v>0</v>
      </c>
      <c r="X22" s="34" t="n">
        <f aca="false">IFERROR(COUNTIFS(T_Assign[תאריך],V6,T_Assign[משמרת],"ערב",T_Assign[מחלקה],$A22),0)</f>
        <v>0</v>
      </c>
      <c r="Y22" s="60" t="n">
        <f aca="false">IFERROR(SUM(V22:X22),0)</f>
        <v>0</v>
      </c>
      <c r="Z22" s="34" t="n">
        <f aca="false">IFERROR(COUNTIFS(T_Assign[תאריך],Z6,T_Assign[משמרת],"בוקר",T_Assign[מחלקה],$A22),0)</f>
        <v>0</v>
      </c>
      <c r="AA22" s="34" t="n">
        <f aca="false">IFERROR(COUNTIFS(T_Assign[תאריך],Z6,T_Assign[משמרת],"אמצע",T_Assign[מחלקה],$A22),0)</f>
        <v>0</v>
      </c>
      <c r="AB22" s="34" t="n">
        <f aca="false">IFERROR(COUNTIFS(T_Assign[תאריך],Z6,T_Assign[משמרת],"ערב",T_Assign[מחלקה],$A22),0)</f>
        <v>0</v>
      </c>
      <c r="AC22" s="60" t="n">
        <f aca="false">IFERROR(SUM(Z22:AB22),0)</f>
        <v>0</v>
      </c>
      <c r="AD22" s="61" t="n">
        <f aca="false">IFERROR(E22+I22+M22+Q22+U22+Y22+AC22,0)</f>
        <v>0</v>
      </c>
      <c r="AE22" s="62" t="n">
        <f aca="false">IFERROR(SUMPRODUCT((T_Standards[מחלקה]=$A22)*T_Standards[תקן])*7,0)</f>
        <v>0</v>
      </c>
      <c r="AF22" s="63" t="n">
        <f aca="false">IFERROR(AE22-AD22,0)</f>
        <v>0</v>
      </c>
    </row>
    <row r="23" customFormat="false" ht="15" hidden="false" customHeight="true" outlineLevel="0" collapsed="false">
      <c r="A23" s="21" t="s">
        <v>59</v>
      </c>
      <c r="B23" s="65" t="n">
        <f aca="false">IFERROR(SUM(B8:B22),0)</f>
        <v>0</v>
      </c>
      <c r="C23" s="65" t="n">
        <f aca="false">IFERROR(SUM(C8:C22),0)</f>
        <v>0</v>
      </c>
      <c r="D23" s="65" t="n">
        <f aca="false">IFERROR(SUM(D8:D22),0)</f>
        <v>0</v>
      </c>
      <c r="E23" s="65" t="n">
        <f aca="false">IFERROR(SUM(E8:E22),0)</f>
        <v>0</v>
      </c>
      <c r="F23" s="65" t="n">
        <f aca="false">IFERROR(SUM(F8:F22),0)</f>
        <v>0</v>
      </c>
      <c r="G23" s="65" t="n">
        <f aca="false">IFERROR(SUM(G8:G22),0)</f>
        <v>0</v>
      </c>
      <c r="H23" s="65" t="n">
        <f aca="false">IFERROR(SUM(H8:H22),0)</f>
        <v>0</v>
      </c>
      <c r="I23" s="65" t="n">
        <f aca="false">IFERROR(SUM(I8:I22),0)</f>
        <v>0</v>
      </c>
      <c r="J23" s="65" t="n">
        <f aca="false">IFERROR(SUM(J8:J22),0)</f>
        <v>0</v>
      </c>
      <c r="K23" s="65" t="n">
        <f aca="false">IFERROR(SUM(K8:K22),0)</f>
        <v>0</v>
      </c>
      <c r="L23" s="65" t="n">
        <f aca="false">IFERROR(SUM(L8:L22),0)</f>
        <v>0</v>
      </c>
      <c r="M23" s="65" t="n">
        <f aca="false">IFERROR(SUM(M8:M22),0)</f>
        <v>0</v>
      </c>
      <c r="N23" s="65" t="n">
        <f aca="false">IFERROR(SUM(N8:N22),0)</f>
        <v>0</v>
      </c>
      <c r="O23" s="65" t="n">
        <f aca="false">IFERROR(SUM(O8:O22),0)</f>
        <v>0</v>
      </c>
      <c r="P23" s="65" t="n">
        <f aca="false">IFERROR(SUM(P8:P22),0)</f>
        <v>0</v>
      </c>
      <c r="Q23" s="65" t="n">
        <f aca="false">IFERROR(SUM(Q8:Q22),0)</f>
        <v>0</v>
      </c>
      <c r="R23" s="65" t="n">
        <f aca="false">IFERROR(SUM(R8:R22),0)</f>
        <v>0</v>
      </c>
      <c r="S23" s="65" t="n">
        <f aca="false">IFERROR(SUM(S8:S22),0)</f>
        <v>0</v>
      </c>
      <c r="T23" s="65" t="n">
        <f aca="false">IFERROR(SUM(T8:T22),0)</f>
        <v>0</v>
      </c>
      <c r="U23" s="65" t="n">
        <f aca="false">IFERROR(SUM(U8:U22),0)</f>
        <v>0</v>
      </c>
      <c r="V23" s="65" t="n">
        <f aca="false">IFERROR(SUM(V8:V22),0)</f>
        <v>0</v>
      </c>
      <c r="W23" s="65" t="n">
        <f aca="false">IFERROR(SUM(W8:W22),0)</f>
        <v>0</v>
      </c>
      <c r="X23" s="65" t="n">
        <f aca="false">IFERROR(SUM(X8:X22),0)</f>
        <v>0</v>
      </c>
      <c r="Y23" s="65" t="n">
        <f aca="false">IFERROR(SUM(Y8:Y22),0)</f>
        <v>0</v>
      </c>
      <c r="Z23" s="65" t="n">
        <f aca="false">IFERROR(SUM(Z8:Z22),0)</f>
        <v>0</v>
      </c>
      <c r="AA23" s="65" t="n">
        <f aca="false">IFERROR(SUM(AA8:AA22),0)</f>
        <v>0</v>
      </c>
      <c r="AB23" s="65" t="n">
        <f aca="false">IFERROR(SUM(AB8:AB22),0)</f>
        <v>0</v>
      </c>
      <c r="AC23" s="65" t="n">
        <f aca="false">IFERROR(SUM(AC8:AC22),0)</f>
        <v>0</v>
      </c>
      <c r="AD23" s="65" t="n">
        <f aca="false">IFERROR(SUM(AD8:AD22),0)</f>
        <v>0</v>
      </c>
      <c r="AE23" s="65" t="n">
        <f aca="false">IFERROR(SUM(AE8:AE22),0)</f>
        <v>0</v>
      </c>
      <c r="AF23" s="65" t="n">
        <f aca="false">IFERROR(SUM(AF8:AF22),0)</f>
        <v>0</v>
      </c>
    </row>
  </sheetData>
  <mergeCells count="16">
    <mergeCell ref="A1:AE1"/>
    <mergeCell ref="B5:E5"/>
    <mergeCell ref="F5:I5"/>
    <mergeCell ref="J5:M5"/>
    <mergeCell ref="N5:Q5"/>
    <mergeCell ref="R5:U5"/>
    <mergeCell ref="V5:Y5"/>
    <mergeCell ref="Z5:AC5"/>
    <mergeCell ref="AD5:AF5"/>
    <mergeCell ref="B6:E6"/>
    <mergeCell ref="F6:I6"/>
    <mergeCell ref="J6:M6"/>
    <mergeCell ref="N6:Q6"/>
    <mergeCell ref="R6:U6"/>
    <mergeCell ref="V6:Y6"/>
    <mergeCell ref="Z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1" t="s">
        <v>34</v>
      </c>
      <c r="B3" s="66"/>
      <c r="C3" s="36" t="s">
        <v>65</v>
      </c>
      <c r="D3" s="9" t="s">
        <v>46</v>
      </c>
      <c r="E3" s="35" t="n">
        <f aca="false">הגדרות!$C$3</f>
        <v>46096</v>
      </c>
    </row>
    <row r="5" customFormat="false" ht="25.5" hidden="false" customHeight="true" outlineLevel="0" collapsed="false">
      <c r="A5" s="67" t="s">
        <v>66</v>
      </c>
      <c r="B5" s="67"/>
      <c r="C5" s="67"/>
      <c r="D5" s="67"/>
      <c r="E5" s="67"/>
      <c r="F5" s="67"/>
      <c r="G5" s="67"/>
      <c r="H5" s="67"/>
    </row>
    <row r="6" customFormat="false" ht="19.5" hidden="false" customHeight="true" outlineLevel="0" collapsed="false">
      <c r="A6" s="29" t="s">
        <v>37</v>
      </c>
      <c r="B6" s="29" t="s">
        <v>43</v>
      </c>
      <c r="C6" s="29" t="s">
        <v>48</v>
      </c>
      <c r="D6" s="29" t="s">
        <v>49</v>
      </c>
      <c r="E6" s="29" t="s">
        <v>52</v>
      </c>
      <c r="F6" s="29" t="s">
        <v>67</v>
      </c>
    </row>
    <row r="7" customFormat="false" ht="19.5" hidden="false" customHeight="true" outlineLevel="0" collapsed="false">
      <c r="A7" s="68" t="n">
        <f aca="false">IFERROR(INDEX(T_Roles[תפקידים],1),"")</f>
        <v>0</v>
      </c>
      <c r="B7" s="69" t="n">
        <f aca="false">IFERROR(SUMPRODUCT((T_Standards[מחלקה]=$B$3)*(T_Standards[תפקיד]=A7)*(T_Standards[משמרת]="בוקר")*T_Standards[תקן]),0)</f>
        <v>0</v>
      </c>
      <c r="C7" s="44" t="n">
        <f aca="false">IFERROR(COUNTIFS(T_Assign[תאריך],$E$3,T_Assign[משמרת],"בוקר",T_Assign[מחלקה],$B$3,T_Assign[תפקיד],A7),0)</f>
        <v>0</v>
      </c>
      <c r="D7" s="11" t="n">
        <f aca="false">IFERROR(B7-C7,0)</f>
        <v>0</v>
      </c>
      <c r="E7" s="49" t="str">
        <f aca="false">IFERROR(IF(A7="","",IF(D7=0,"✓ מאויש",IF(D7&gt;0,"⚠ חוסר","↑ עודף"))),"")</f>
        <v/>
      </c>
      <c r="F7" s="20" t="str">
        <f aca="false">IFERROR(textjoin(", ",TRUE(),IF((T_Assign[תאריך]=$E$3)*(T_Assign[משמרת]="בוקר")*(T_Assign[מחלקה]=$B$3)*(T_Assign[תפקיד]=A7),T_Assign[שם],"")),"")</f>
        <v/>
      </c>
      <c r="G7" s="70" t="str">
        <f aca="false">IFERROR(textjoin(", ",TRUE(),IF((T_Assign[תאריך]=$E$3)*(T_Assign[משמרת]="בוקר")*(T_Assign[מחלקה]=$B$3)*(T_Assign[תפקיד]=A7)*(T_Assign[סוג]="יועץ"),T_Assign[שם],"")),"")</f>
        <v/>
      </c>
    </row>
    <row r="8" customFormat="false" ht="19.5" hidden="false" customHeight="true" outlineLevel="0" collapsed="false">
      <c r="A8" s="68" t="n">
        <f aca="false">IFERROR(INDEX(T_Roles[תפקידים],2),"")</f>
        <v>0</v>
      </c>
      <c r="B8" s="71" t="n">
        <f aca="false">IFERROR(SUMPRODUCT((T_Standards[מחלקה]=$B$3)*(T_Standards[תפקיד]=A8)*(T_Standards[משמרת]="בוקר")*T_Standards[תקן]),0)</f>
        <v>0</v>
      </c>
      <c r="C8" s="50" t="n">
        <f aca="false">IFERROR(COUNTIFS(T_Assign[תאריך],$E$3,T_Assign[משמרת],"בוקר",T_Assign[מחלקה],$B$3,T_Assign[תפקיד],A8),0)</f>
        <v>0</v>
      </c>
      <c r="D8" s="25" t="n">
        <f aca="false">IFERROR(B8-C8,0)</f>
        <v>0</v>
      </c>
      <c r="E8" s="52" t="str">
        <f aca="false">IFERROR(IF(A8="","",IF(D8=0,"✓ מאויש",IF(D8&gt;0,"⚠ חוסר","↑ עודף"))),"")</f>
        <v/>
      </c>
      <c r="F8" s="72" t="str">
        <f aca="false">IFERROR(textjoin(", ",TRUE(),IF((T_Assign[תאריך]=$E$3)*(T_Assign[משמרת]="בוקר")*(T_Assign[מחלקה]=$B$3)*(T_Assign[תפקיד]=A8),T_Assign[שם],"")),"")</f>
        <v/>
      </c>
      <c r="G8" s="73" t="str">
        <f aca="false">IFERROR(textjoin(", ",TRUE(),IF((T_Assign[תאריך]=$E$3)*(T_Assign[משמרת]="בוקר")*(T_Assign[מחלקה]=$B$3)*(T_Assign[תפקיד]=A8)*(T_Assign[סוג]="יועץ"),T_Assign[שם],"")),"")</f>
        <v/>
      </c>
    </row>
    <row r="9" customFormat="false" ht="19.5" hidden="false" customHeight="true" outlineLevel="0" collapsed="false">
      <c r="A9" s="68" t="n">
        <f aca="false">IFERROR(INDEX(T_Roles[תפקידים],3),"")</f>
        <v>0</v>
      </c>
      <c r="B9" s="69" t="n">
        <f aca="false">IFERROR(SUMPRODUCT((T_Standards[מחלקה]=$B$3)*(T_Standards[תפקיד]=A9)*(T_Standards[משמרת]="בוקר")*T_Standards[תקן]),0)</f>
        <v>0</v>
      </c>
      <c r="C9" s="44" t="n">
        <f aca="false">IFERROR(COUNTIFS(T_Assign[תאריך],$E$3,T_Assign[משמרת],"בוקר",T_Assign[מחלקה],$B$3,T_Assign[תפקיד],A9),0)</f>
        <v>0</v>
      </c>
      <c r="D9" s="11" t="n">
        <f aca="false">IFERROR(B9-C9,0)</f>
        <v>0</v>
      </c>
      <c r="E9" s="49" t="str">
        <f aca="false">IFERROR(IF(A9="","",IF(D9=0,"✓ מאויש",IF(D9&gt;0,"⚠ חוסר","↑ עודף"))),"")</f>
        <v/>
      </c>
      <c r="F9" s="20" t="str">
        <f aca="false">IFERROR(textjoin(", ",TRUE(),IF((T_Assign[תאריך]=$E$3)*(T_Assign[משמרת]="בוקר")*(T_Assign[מחלקה]=$B$3)*(T_Assign[תפקיד]=A9),T_Assign[שם],"")),"")</f>
        <v/>
      </c>
      <c r="G9" s="70" t="str">
        <f aca="false">IFERROR(textjoin(", ",TRUE(),IF((T_Assign[תאריך]=$E$3)*(T_Assign[משמרת]="בוקר")*(T_Assign[מחלקה]=$B$3)*(T_Assign[תפקיד]=A9)*(T_Assign[סוג]="יועץ"),T_Assign[שם],"")),"")</f>
        <v/>
      </c>
    </row>
    <row r="10" customFormat="false" ht="19.5" hidden="false" customHeight="true" outlineLevel="0" collapsed="false">
      <c r="A10" s="68" t="n">
        <f aca="false">IFERROR(INDEX(T_Roles[תפקידים],4),"")</f>
        <v>0</v>
      </c>
      <c r="B10" s="71" t="n">
        <f aca="false">IFERROR(SUMPRODUCT((T_Standards[מחלקה]=$B$3)*(T_Standards[תפקיד]=A10)*(T_Standards[משמרת]="בוקר")*T_Standards[תקן]),0)</f>
        <v>0</v>
      </c>
      <c r="C10" s="50" t="n">
        <f aca="false">IFERROR(COUNTIFS(T_Assign[תאריך],$E$3,T_Assign[משמרת],"בוקר",T_Assign[מחלקה],$B$3,T_Assign[תפקיד],A10),0)</f>
        <v>0</v>
      </c>
      <c r="D10" s="25" t="n">
        <f aca="false">IFERROR(B10-C10,0)</f>
        <v>0</v>
      </c>
      <c r="E10" s="52" t="str">
        <f aca="false">IFERROR(IF(A10="","",IF(D10=0,"✓ מאויש",IF(D10&gt;0,"⚠ חוסר","↑ עודף"))),"")</f>
        <v/>
      </c>
      <c r="F10" s="72" t="str">
        <f aca="false">IFERROR(textjoin(", ",TRUE(),IF((T_Assign[תאריך]=$E$3)*(T_Assign[משמרת]="בוקר")*(T_Assign[מחלקה]=$B$3)*(T_Assign[תפקיד]=A10),T_Assign[שם],"")),"")</f>
        <v/>
      </c>
      <c r="G10" s="73" t="str">
        <f aca="false">IFERROR(textjoin(", ",TRUE(),IF((T_Assign[תאריך]=$E$3)*(T_Assign[משמרת]="בוקר")*(T_Assign[מחלקה]=$B$3)*(T_Assign[תפקיד]=A10)*(T_Assign[סוג]="יועץ"),T_Assign[שם],"")),"")</f>
        <v/>
      </c>
    </row>
    <row r="11" customFormat="false" ht="19.5" hidden="false" customHeight="true" outlineLevel="0" collapsed="false">
      <c r="A11" s="68" t="n">
        <f aca="false">IFERROR(INDEX(T_Roles[תפקידים],5),"")</f>
        <v>0</v>
      </c>
      <c r="B11" s="69" t="n">
        <f aca="false">IFERROR(SUMPRODUCT((T_Standards[מחלקה]=$B$3)*(T_Standards[תפקיד]=A11)*(T_Standards[משמרת]="בוקר")*T_Standards[תקן]),0)</f>
        <v>0</v>
      </c>
      <c r="C11" s="44" t="n">
        <f aca="false">IFERROR(COUNTIFS(T_Assign[תאריך],$E$3,T_Assign[משמרת],"בוקר",T_Assign[מחלקה],$B$3,T_Assign[תפקיד],A11),0)</f>
        <v>0</v>
      </c>
      <c r="D11" s="11" t="n">
        <f aca="false">IFERROR(B11-C11,0)</f>
        <v>0</v>
      </c>
      <c r="E11" s="49" t="str">
        <f aca="false">IFERROR(IF(A11="","",IF(D11=0,"✓ מאויש",IF(D11&gt;0,"⚠ חוסר","↑ עודף"))),"")</f>
        <v/>
      </c>
      <c r="F11" s="20" t="str">
        <f aca="false">IFERROR(textjoin(", ",TRUE(),IF((T_Assign[תאריך]=$E$3)*(T_Assign[משמרת]="בוקר")*(T_Assign[מחלקה]=$B$3)*(T_Assign[תפקיד]=A11),T_Assign[שם],"")),"")</f>
        <v/>
      </c>
      <c r="G11" s="70" t="str">
        <f aca="false">IFERROR(textjoin(", ",TRUE(),IF((T_Assign[תאריך]=$E$3)*(T_Assign[משמרת]="בוקר")*(T_Assign[מחלקה]=$B$3)*(T_Assign[תפקיד]=A11)*(T_Assign[סוג]="יועץ"),T_Assign[שם],"")),"")</f>
        <v/>
      </c>
    </row>
    <row r="12" customFormat="false" ht="19.5" hidden="false" customHeight="true" outlineLevel="0" collapsed="false">
      <c r="A12" s="68" t="n">
        <f aca="false">IFERROR(INDEX(T_Roles[תפקידים],6),"")</f>
        <v>0</v>
      </c>
      <c r="B12" s="71" t="n">
        <f aca="false">IFERROR(SUMPRODUCT((T_Standards[מחלקה]=$B$3)*(T_Standards[תפקיד]=A12)*(T_Standards[משמרת]="בוקר")*T_Standards[תקן]),0)</f>
        <v>0</v>
      </c>
      <c r="C12" s="50" t="n">
        <f aca="false">IFERROR(COUNTIFS(T_Assign[תאריך],$E$3,T_Assign[משמרת],"בוקר",T_Assign[מחלקה],$B$3,T_Assign[תפקיד],A12),0)</f>
        <v>0</v>
      </c>
      <c r="D12" s="25" t="n">
        <f aca="false">IFERROR(B12-C12,0)</f>
        <v>0</v>
      </c>
      <c r="E12" s="52" t="str">
        <f aca="false">IFERROR(IF(A12="","",IF(D12=0,"✓ מאויש",IF(D12&gt;0,"⚠ חוסר","↑ עודף"))),"")</f>
        <v/>
      </c>
      <c r="F12" s="72" t="str">
        <f aca="false">IFERROR(textjoin(", ",TRUE(),IF((T_Assign[תאריך]=$E$3)*(T_Assign[משמרת]="בוקר")*(T_Assign[מחלקה]=$B$3)*(T_Assign[תפקיד]=A12),T_Assign[שם],"")),"")</f>
        <v/>
      </c>
      <c r="G12" s="73" t="str">
        <f aca="false">IFERROR(textjoin(", ",TRUE(),IF((T_Assign[תאריך]=$E$3)*(T_Assign[משמרת]="בוקר")*(T_Assign[מחלקה]=$B$3)*(T_Assign[תפקיד]=A12)*(T_Assign[סוג]="יועץ"),T_Assign[שם],"")),"")</f>
        <v/>
      </c>
    </row>
    <row r="13" customFormat="false" ht="19.5" hidden="false" customHeight="true" outlineLevel="0" collapsed="false">
      <c r="A13" s="68" t="n">
        <f aca="false">IFERROR(INDEX(T_Roles[תפקידים],7),"")</f>
        <v>0</v>
      </c>
      <c r="B13" s="69" t="n">
        <f aca="false">IFERROR(SUMPRODUCT((T_Standards[מחלקה]=$B$3)*(T_Standards[תפקיד]=A13)*(T_Standards[משמרת]="בוקר")*T_Standards[תקן]),0)</f>
        <v>0</v>
      </c>
      <c r="C13" s="44" t="n">
        <f aca="false">IFERROR(COUNTIFS(T_Assign[תאריך],$E$3,T_Assign[משמרת],"בוקר",T_Assign[מחלקה],$B$3,T_Assign[תפקיד],A13),0)</f>
        <v>0</v>
      </c>
      <c r="D13" s="11" t="n">
        <f aca="false">IFERROR(B13-C13,0)</f>
        <v>0</v>
      </c>
      <c r="E13" s="49" t="str">
        <f aca="false">IFERROR(IF(A13="","",IF(D13=0,"✓ מאויש",IF(D13&gt;0,"⚠ חוסר","↑ עודף"))),"")</f>
        <v/>
      </c>
      <c r="F13" s="20" t="str">
        <f aca="false">IFERROR(textjoin(", ",TRUE(),IF((T_Assign[תאריך]=$E$3)*(T_Assign[משמרת]="בוקר")*(T_Assign[מחלקה]=$B$3)*(T_Assign[תפקיד]=A13),T_Assign[שם],"")),"")</f>
        <v/>
      </c>
      <c r="G13" s="70" t="str">
        <f aca="false">IFERROR(textjoin(", ",TRUE(),IF((T_Assign[תאריך]=$E$3)*(T_Assign[משמרת]="בוקר")*(T_Assign[מחלקה]=$B$3)*(T_Assign[תפקיד]=A13)*(T_Assign[סוג]="יועץ"),T_Assign[שם],"")),"")</f>
        <v/>
      </c>
    </row>
    <row r="14" customFormat="false" ht="19.5" hidden="false" customHeight="true" outlineLevel="0" collapsed="false">
      <c r="A14" s="68" t="n">
        <f aca="false">IFERROR(INDEX(T_Roles[תפקידים],8),"")</f>
        <v>0</v>
      </c>
      <c r="B14" s="71" t="n">
        <f aca="false">IFERROR(SUMPRODUCT((T_Standards[מחלקה]=$B$3)*(T_Standards[תפקיד]=A14)*(T_Standards[משמרת]="בוקר")*T_Standards[תקן]),0)</f>
        <v>0</v>
      </c>
      <c r="C14" s="50" t="n">
        <f aca="false">IFERROR(COUNTIFS(T_Assign[תאריך],$E$3,T_Assign[משמרת],"בוקר",T_Assign[מחלקה],$B$3,T_Assign[תפקיד],A14),0)</f>
        <v>0</v>
      </c>
      <c r="D14" s="25" t="n">
        <f aca="false">IFERROR(B14-C14,0)</f>
        <v>0</v>
      </c>
      <c r="E14" s="52" t="str">
        <f aca="false">IFERROR(IF(A14="","",IF(D14=0,"✓ מאויש",IF(D14&gt;0,"⚠ חוסר","↑ עודף"))),"")</f>
        <v/>
      </c>
      <c r="F14" s="72" t="str">
        <f aca="false">IFERROR(textjoin(", ",TRUE(),IF((T_Assign[תאריך]=$E$3)*(T_Assign[משמרת]="בוקר")*(T_Assign[מחלקה]=$B$3)*(T_Assign[תפקיד]=A14),T_Assign[שם],"")),"")</f>
        <v/>
      </c>
      <c r="G14" s="73" t="str">
        <f aca="false">IFERROR(textjoin(", ",TRUE(),IF((T_Assign[תאריך]=$E$3)*(T_Assign[משמרת]="בוקר")*(T_Assign[מחלקה]=$B$3)*(T_Assign[תפקיד]=A14)*(T_Assign[סוג]="יועץ"),T_Assign[שם],"")),"")</f>
        <v/>
      </c>
    </row>
    <row r="15" customFormat="false" ht="15" hidden="false" customHeight="true" outlineLevel="0" collapsed="false">
      <c r="A15" s="29" t="s">
        <v>68</v>
      </c>
      <c r="B15" s="74" t="n">
        <f aca="false">IFERROR(SUM(B7:B14),0)</f>
        <v>0</v>
      </c>
      <c r="C15" s="74" t="n">
        <f aca="false">IFERROR(SUM(C7:C14),0)</f>
        <v>0</v>
      </c>
      <c r="D15" s="74" t="n">
        <f aca="false">IFERROR(B15-C15,0)</f>
        <v>0</v>
      </c>
      <c r="E15" s="75"/>
      <c r="F15" s="75"/>
      <c r="G15" s="75"/>
    </row>
    <row r="17" customFormat="false" ht="25.5" hidden="false" customHeight="true" outlineLevel="0" collapsed="false">
      <c r="A17" s="76" t="s">
        <v>69</v>
      </c>
      <c r="B17" s="76"/>
      <c r="C17" s="76"/>
      <c r="D17" s="76"/>
      <c r="E17" s="76"/>
      <c r="F17" s="76"/>
      <c r="G17" s="76"/>
      <c r="H17" s="76"/>
    </row>
    <row r="18" customFormat="false" ht="19.5" hidden="false" customHeight="true" outlineLevel="0" collapsed="false">
      <c r="A18" s="31" t="s">
        <v>37</v>
      </c>
      <c r="B18" s="31" t="s">
        <v>43</v>
      </c>
      <c r="C18" s="31" t="s">
        <v>48</v>
      </c>
      <c r="D18" s="31" t="s">
        <v>49</v>
      </c>
      <c r="E18" s="31" t="s">
        <v>52</v>
      </c>
      <c r="F18" s="31" t="s">
        <v>67</v>
      </c>
    </row>
    <row r="19" customFormat="false" ht="19.5" hidden="false" customHeight="true" outlineLevel="0" collapsed="false">
      <c r="A19" s="68" t="n">
        <f aca="false">IFERROR(INDEX(T_Roles[תפקידים],1),"")</f>
        <v>0</v>
      </c>
      <c r="B19" s="69" t="n">
        <f aca="false">IFERROR(SUMPRODUCT((T_Standards[מחלקה]=$B$3)*(T_Standards[תפקיד]=A19)*(T_Standards[משמרת]="אמצע")*T_Standards[תקן]),0)</f>
        <v>0</v>
      </c>
      <c r="C19" s="44" t="n">
        <f aca="false">IFERROR(COUNTIFS(T_Assign[תאריך],$E$3,T_Assign[משמרת],"אמצע",T_Assign[מחלקה],$B$3,T_Assign[תפקיד],A19),0)</f>
        <v>0</v>
      </c>
      <c r="D19" s="11" t="n">
        <f aca="false">IFERROR(B19-C19,0)</f>
        <v>0</v>
      </c>
      <c r="E19" s="49" t="str">
        <f aca="false">IFERROR(IF(A19="","",IF(D19=0,"✓ מאויש",IF(D19&gt;0,"⚠ חוסר","↑ עודף"))),"")</f>
        <v/>
      </c>
      <c r="F19" s="20" t="str">
        <f aca="false">IFERROR(textjoin(", ",TRUE(),IF((T_Assign[תאריך]=$E$3)*(T_Assign[משמרת]="אמצע")*(T_Assign[מחלקה]=$B$3)*(T_Assign[תפקיד]=A19),T_Assign[שם],"")),"")</f>
        <v/>
      </c>
      <c r="G19" s="70" t="str">
        <f aca="false">IFERROR(textjoin(", ",TRUE(),IF((T_Assign[תאריך]=$E$3)*(T_Assign[משמרת]="אמצע")*(T_Assign[מחלקה]=$B$3)*(T_Assign[תפקיד]=A19)*(T_Assign[סוג]="יועץ"),T_Assign[שם],"")),"")</f>
        <v/>
      </c>
    </row>
    <row r="20" customFormat="false" ht="19.5" hidden="false" customHeight="true" outlineLevel="0" collapsed="false">
      <c r="A20" s="68" t="n">
        <f aca="false">IFERROR(INDEX(T_Roles[תפקידים],2),"")</f>
        <v>0</v>
      </c>
      <c r="B20" s="71" t="n">
        <f aca="false">IFERROR(SUMPRODUCT((T_Standards[מחלקה]=$B$3)*(T_Standards[תפקיד]=A20)*(T_Standards[משמרת]="אמצע")*T_Standards[תקן]),0)</f>
        <v>0</v>
      </c>
      <c r="C20" s="50" t="n">
        <f aca="false">IFERROR(COUNTIFS(T_Assign[תאריך],$E$3,T_Assign[משמרת],"אמצע",T_Assign[מחלקה],$B$3,T_Assign[תפקיד],A20),0)</f>
        <v>0</v>
      </c>
      <c r="D20" s="25" t="n">
        <f aca="false">IFERROR(B20-C20,0)</f>
        <v>0</v>
      </c>
      <c r="E20" s="52" t="str">
        <f aca="false">IFERROR(IF(A20="","",IF(D20=0,"✓ מאויש",IF(D20&gt;0,"⚠ חוסר","↑ עודף"))),"")</f>
        <v/>
      </c>
      <c r="F20" s="72" t="str">
        <f aca="false">IFERROR(textjoin(", ",TRUE(),IF((T_Assign[תאריך]=$E$3)*(T_Assign[משמרת]="אמצע")*(T_Assign[מחלקה]=$B$3)*(T_Assign[תפקיד]=A20),T_Assign[שם],"")),"")</f>
        <v/>
      </c>
      <c r="G20" s="73" t="str">
        <f aca="false">IFERROR(textjoin(", ",TRUE(),IF((T_Assign[תאריך]=$E$3)*(T_Assign[משמרת]="אמצע")*(T_Assign[מחלקה]=$B$3)*(T_Assign[תפקיד]=A20)*(T_Assign[סוג]="יועץ"),T_Assign[שם],"")),"")</f>
        <v/>
      </c>
    </row>
    <row r="21" customFormat="false" ht="19.5" hidden="false" customHeight="true" outlineLevel="0" collapsed="false">
      <c r="A21" s="68" t="n">
        <f aca="false">IFERROR(INDEX(T_Roles[תפקידים],3),"")</f>
        <v>0</v>
      </c>
      <c r="B21" s="69" t="n">
        <f aca="false">IFERROR(SUMPRODUCT((T_Standards[מחלקה]=$B$3)*(T_Standards[תפקיד]=A21)*(T_Standards[משמרת]="אמצע")*T_Standards[תקן]),0)</f>
        <v>0</v>
      </c>
      <c r="C21" s="44" t="n">
        <f aca="false">IFERROR(COUNTIFS(T_Assign[תאריך],$E$3,T_Assign[משמרת],"אמצע",T_Assign[מחלקה],$B$3,T_Assign[תפקיד],A21),0)</f>
        <v>0</v>
      </c>
      <c r="D21" s="11" t="n">
        <f aca="false">IFERROR(B21-C21,0)</f>
        <v>0</v>
      </c>
      <c r="E21" s="49" t="str">
        <f aca="false">IFERROR(IF(A21="","",IF(D21=0,"✓ מאויש",IF(D21&gt;0,"⚠ חוסר","↑ עודף"))),"")</f>
        <v/>
      </c>
      <c r="F21" s="20" t="str">
        <f aca="false">IFERROR(textjoin(", ",TRUE(),IF((T_Assign[תאריך]=$E$3)*(T_Assign[משמרת]="אמצע")*(T_Assign[מחלקה]=$B$3)*(T_Assign[תפקיד]=A21),T_Assign[שם],"")),"")</f>
        <v/>
      </c>
      <c r="G21" s="70" t="str">
        <f aca="false">IFERROR(textjoin(", ",TRUE(),IF((T_Assign[תאריך]=$E$3)*(T_Assign[משמרת]="אמצע")*(T_Assign[מחלקה]=$B$3)*(T_Assign[תפקיד]=A21)*(T_Assign[סוג]="יועץ"),T_Assign[שם],"")),"")</f>
        <v/>
      </c>
    </row>
    <row r="22" customFormat="false" ht="19.5" hidden="false" customHeight="true" outlineLevel="0" collapsed="false">
      <c r="A22" s="68" t="n">
        <f aca="false">IFERROR(INDEX(T_Roles[תפקידים],4),"")</f>
        <v>0</v>
      </c>
      <c r="B22" s="71" t="n">
        <f aca="false">IFERROR(SUMPRODUCT((T_Standards[מחלקה]=$B$3)*(T_Standards[תפקיד]=A22)*(T_Standards[משמרת]="אמצע")*T_Standards[תקן]),0)</f>
        <v>0</v>
      </c>
      <c r="C22" s="50" t="n">
        <f aca="false">IFERROR(COUNTIFS(T_Assign[תאריך],$E$3,T_Assign[משמרת],"אמצע",T_Assign[מחלקה],$B$3,T_Assign[תפקיד],A22),0)</f>
        <v>0</v>
      </c>
      <c r="D22" s="25" t="n">
        <f aca="false">IFERROR(B22-C22,0)</f>
        <v>0</v>
      </c>
      <c r="E22" s="52" t="str">
        <f aca="false">IFERROR(IF(A22="","",IF(D22=0,"✓ מאויש",IF(D22&gt;0,"⚠ חוסר","↑ עודף"))),"")</f>
        <v/>
      </c>
      <c r="F22" s="72" t="str">
        <f aca="false">IFERROR(textjoin(", ",TRUE(),IF((T_Assign[תאריך]=$E$3)*(T_Assign[משמרת]="אמצע")*(T_Assign[מחלקה]=$B$3)*(T_Assign[תפקיד]=A22),T_Assign[שם],"")),"")</f>
        <v/>
      </c>
      <c r="G22" s="73" t="str">
        <f aca="false">IFERROR(textjoin(", ",TRUE(),IF((T_Assign[תאריך]=$E$3)*(T_Assign[משמרת]="אמצע")*(T_Assign[מחלקה]=$B$3)*(T_Assign[תפקיד]=A22)*(T_Assign[סוג]="יועץ"),T_Assign[שם],"")),"")</f>
        <v/>
      </c>
    </row>
    <row r="23" customFormat="false" ht="19.5" hidden="false" customHeight="true" outlineLevel="0" collapsed="false">
      <c r="A23" s="68" t="n">
        <f aca="false">IFERROR(INDEX(T_Roles[תפקידים],5),"")</f>
        <v>0</v>
      </c>
      <c r="B23" s="69" t="n">
        <f aca="false">IFERROR(SUMPRODUCT((T_Standards[מחלקה]=$B$3)*(T_Standards[תפקיד]=A23)*(T_Standards[משמרת]="אמצע")*T_Standards[תקן]),0)</f>
        <v>0</v>
      </c>
      <c r="C23" s="44" t="n">
        <f aca="false">IFERROR(COUNTIFS(T_Assign[תאריך],$E$3,T_Assign[משמרת],"אמצע",T_Assign[מחלקה],$B$3,T_Assign[תפקיד],A23),0)</f>
        <v>0</v>
      </c>
      <c r="D23" s="11" t="n">
        <f aca="false">IFERROR(B23-C23,0)</f>
        <v>0</v>
      </c>
      <c r="E23" s="49" t="str">
        <f aca="false">IFERROR(IF(A23="","",IF(D23=0,"✓ מאויש",IF(D23&gt;0,"⚠ חוסר","↑ עודף"))),"")</f>
        <v/>
      </c>
      <c r="F23" s="20" t="str">
        <f aca="false">IFERROR(textjoin(", ",TRUE(),IF((T_Assign[תאריך]=$E$3)*(T_Assign[משמרת]="אמצע")*(T_Assign[מחלקה]=$B$3)*(T_Assign[תפקיד]=A23),T_Assign[שם],"")),"")</f>
        <v/>
      </c>
      <c r="G23" s="70" t="str">
        <f aca="false">IFERROR(textjoin(", ",TRUE(),IF((T_Assign[תאריך]=$E$3)*(T_Assign[משמרת]="אמצע")*(T_Assign[מחלקה]=$B$3)*(T_Assign[תפקיד]=A23)*(T_Assign[סוג]="יועץ"),T_Assign[שם],"")),"")</f>
        <v/>
      </c>
    </row>
    <row r="24" customFormat="false" ht="19.5" hidden="false" customHeight="true" outlineLevel="0" collapsed="false">
      <c r="A24" s="68" t="n">
        <f aca="false">IFERROR(INDEX(T_Roles[תפקידים],6),"")</f>
        <v>0</v>
      </c>
      <c r="B24" s="71" t="n">
        <f aca="false">IFERROR(SUMPRODUCT((T_Standards[מחלקה]=$B$3)*(T_Standards[תפקיד]=A24)*(T_Standards[משמרת]="אמצע")*T_Standards[תקן]),0)</f>
        <v>0</v>
      </c>
      <c r="C24" s="50" t="n">
        <f aca="false">IFERROR(COUNTIFS(T_Assign[תאריך],$E$3,T_Assign[משמרת],"אמצע",T_Assign[מחלקה],$B$3,T_Assign[תפקיד],A24),0)</f>
        <v>0</v>
      </c>
      <c r="D24" s="25" t="n">
        <f aca="false">IFERROR(B24-C24,0)</f>
        <v>0</v>
      </c>
      <c r="E24" s="52" t="str">
        <f aca="false">IFERROR(IF(A24="","",IF(D24=0,"✓ מאויש",IF(D24&gt;0,"⚠ חוסר","↑ עודף"))),"")</f>
        <v/>
      </c>
      <c r="F24" s="72" t="str">
        <f aca="false">IFERROR(textjoin(", ",TRUE(),IF((T_Assign[תאריך]=$E$3)*(T_Assign[משמרת]="אמצע")*(T_Assign[מחלקה]=$B$3)*(T_Assign[תפקיד]=A24),T_Assign[שם],"")),"")</f>
        <v/>
      </c>
      <c r="G24" s="73" t="str">
        <f aca="false">IFERROR(textjoin(", ",TRUE(),IF((T_Assign[תאריך]=$E$3)*(T_Assign[משמרת]="אמצע")*(T_Assign[מחלקה]=$B$3)*(T_Assign[תפקיד]=A24)*(T_Assign[סוג]="יועץ"),T_Assign[שם],"")),"")</f>
        <v/>
      </c>
    </row>
    <row r="25" customFormat="false" ht="19.5" hidden="false" customHeight="true" outlineLevel="0" collapsed="false">
      <c r="A25" s="68" t="n">
        <f aca="false">IFERROR(INDEX(T_Roles[תפקידים],7),"")</f>
        <v>0</v>
      </c>
      <c r="B25" s="69" t="n">
        <f aca="false">IFERROR(SUMPRODUCT((T_Standards[מחלקה]=$B$3)*(T_Standards[תפקיד]=A25)*(T_Standards[משמרת]="אמצע")*T_Standards[תקן]),0)</f>
        <v>0</v>
      </c>
      <c r="C25" s="44" t="n">
        <f aca="false">IFERROR(COUNTIFS(T_Assign[תאריך],$E$3,T_Assign[משמרת],"אמצע",T_Assign[מחלקה],$B$3,T_Assign[תפקיד],A25),0)</f>
        <v>0</v>
      </c>
      <c r="D25" s="11" t="n">
        <f aca="false">IFERROR(B25-C25,0)</f>
        <v>0</v>
      </c>
      <c r="E25" s="49" t="str">
        <f aca="false">IFERROR(IF(A25="","",IF(D25=0,"✓ מאויש",IF(D25&gt;0,"⚠ חוסר","↑ עודף"))),"")</f>
        <v/>
      </c>
      <c r="F25" s="20" t="str">
        <f aca="false">IFERROR(textjoin(", ",TRUE(),IF((T_Assign[תאריך]=$E$3)*(T_Assign[משמרת]="אמצע")*(T_Assign[מחלקה]=$B$3)*(T_Assign[תפקיד]=A25),T_Assign[שם],"")),"")</f>
        <v/>
      </c>
      <c r="G25" s="70" t="str">
        <f aca="false">IFERROR(textjoin(", ",TRUE(),IF((T_Assign[תאריך]=$E$3)*(T_Assign[משמרת]="אמצע")*(T_Assign[מחלקה]=$B$3)*(T_Assign[תפקיד]=A25)*(T_Assign[סוג]="יועץ"),T_Assign[שם],"")),"")</f>
        <v/>
      </c>
    </row>
    <row r="26" customFormat="false" ht="19.5" hidden="false" customHeight="true" outlineLevel="0" collapsed="false">
      <c r="A26" s="68" t="n">
        <f aca="false">IFERROR(INDEX(T_Roles[תפקידים],8),"")</f>
        <v>0</v>
      </c>
      <c r="B26" s="71" t="n">
        <f aca="false">IFERROR(SUMPRODUCT((T_Standards[מחלקה]=$B$3)*(T_Standards[תפקיד]=A26)*(T_Standards[משמרת]="אמצע")*T_Standards[תקן]),0)</f>
        <v>0</v>
      </c>
      <c r="C26" s="50" t="n">
        <f aca="false">IFERROR(COUNTIFS(T_Assign[תאריך],$E$3,T_Assign[משמרת],"אמצע",T_Assign[מחלקה],$B$3,T_Assign[תפקיד],A26),0)</f>
        <v>0</v>
      </c>
      <c r="D26" s="25" t="n">
        <f aca="false">IFERROR(B26-C26,0)</f>
        <v>0</v>
      </c>
      <c r="E26" s="52" t="str">
        <f aca="false">IFERROR(IF(A26="","",IF(D26=0,"✓ מאויש",IF(D26&gt;0,"⚠ חוסר","↑ עודף"))),"")</f>
        <v/>
      </c>
      <c r="F26" s="72" t="str">
        <f aca="false">IFERROR(textjoin(", ",TRUE(),IF((T_Assign[תאריך]=$E$3)*(T_Assign[משמרת]="אמצע")*(T_Assign[מחלקה]=$B$3)*(T_Assign[תפקיד]=A26),T_Assign[שם],"")),"")</f>
        <v/>
      </c>
      <c r="G26" s="73" t="str">
        <f aca="false">IFERROR(textjoin(", ",TRUE(),IF((T_Assign[תאריך]=$E$3)*(T_Assign[משמרת]="אמצע")*(T_Assign[מחלקה]=$B$3)*(T_Assign[תפקיד]=A26)*(T_Assign[סוג]="יועץ"),T_Assign[שם],"")),"")</f>
        <v/>
      </c>
    </row>
    <row r="27" customFormat="false" ht="15" hidden="false" customHeight="true" outlineLevel="0" collapsed="false">
      <c r="A27" s="31" t="s">
        <v>70</v>
      </c>
      <c r="B27" s="77" t="n">
        <f aca="false">IFERROR(SUM(B19:B26),0)</f>
        <v>0</v>
      </c>
      <c r="C27" s="77" t="n">
        <f aca="false">IFERROR(SUM(C19:C26),0)</f>
        <v>0</v>
      </c>
      <c r="D27" s="77" t="n">
        <f aca="false">IFERROR(B27-C27,0)</f>
        <v>0</v>
      </c>
      <c r="E27" s="78"/>
      <c r="F27" s="78"/>
      <c r="G27" s="78"/>
    </row>
    <row r="29" customFormat="false" ht="25.5" hidden="false" customHeight="true" outlineLevel="0" collapsed="false">
      <c r="A29" s="79" t="s">
        <v>71</v>
      </c>
      <c r="B29" s="79"/>
      <c r="C29" s="79"/>
      <c r="D29" s="79"/>
      <c r="E29" s="79"/>
      <c r="F29" s="79"/>
      <c r="G29" s="79"/>
      <c r="H29" s="79"/>
    </row>
    <row r="30" customFormat="false" ht="19.5" hidden="false" customHeight="true" outlineLevel="0" collapsed="false">
      <c r="A30" s="80" t="s">
        <v>37</v>
      </c>
      <c r="B30" s="80" t="s">
        <v>43</v>
      </c>
      <c r="C30" s="80" t="s">
        <v>48</v>
      </c>
      <c r="D30" s="80" t="s">
        <v>49</v>
      </c>
      <c r="E30" s="80" t="s">
        <v>52</v>
      </c>
      <c r="F30" s="80" t="s">
        <v>67</v>
      </c>
    </row>
    <row r="31" customFormat="false" ht="19.5" hidden="false" customHeight="true" outlineLevel="0" collapsed="false">
      <c r="A31" s="68" t="n">
        <f aca="false">IFERROR(INDEX(T_Roles[תפקידים],1),"")</f>
        <v>0</v>
      </c>
      <c r="B31" s="69" t="n">
        <f aca="false">IFERROR(SUMPRODUCT((T_Standards[מחלקה]=$B$3)*(T_Standards[תפקיד]=A31)*(T_Standards[משמרת]="ערב")*T_Standards[תקן]),0)</f>
        <v>0</v>
      </c>
      <c r="C31" s="44" t="n">
        <f aca="false">IFERROR(COUNTIFS(T_Assign[תאריך],$E$3,T_Assign[משמרת],"ערב",T_Assign[מחלקה],$B$3,T_Assign[תפקיד],A31),0)</f>
        <v>0</v>
      </c>
      <c r="D31" s="11" t="n">
        <f aca="false">IFERROR(B31-C31,0)</f>
        <v>0</v>
      </c>
      <c r="E31" s="49" t="str">
        <f aca="false">IFERROR(IF(A31="","",IF(D31=0,"✓ מאויש",IF(D31&gt;0,"⚠ חוסר","↑ עודף"))),"")</f>
        <v/>
      </c>
      <c r="F31" s="20" t="str">
        <f aca="false">IFERROR(textjoin(", ",TRUE(),IF((T_Assign[תאריך]=$E$3)*(T_Assign[משמרת]="ערב")*(T_Assign[מחלקה]=$B$3)*(T_Assign[תפקיד]=A31),T_Assign[שם],"")),"")</f>
        <v/>
      </c>
      <c r="G31" s="70" t="str">
        <f aca="false">IFERROR(textjoin(", ",TRUE(),IF((T_Assign[תאריך]=$E$3)*(T_Assign[משמרת]="ערב")*(T_Assign[מחלקה]=$B$3)*(T_Assign[תפקיד]=A31)*(T_Assign[סוג]="יועץ"),T_Assign[שם],"")),"")</f>
        <v/>
      </c>
    </row>
    <row r="32" customFormat="false" ht="19.5" hidden="false" customHeight="true" outlineLevel="0" collapsed="false">
      <c r="A32" s="68" t="n">
        <f aca="false">IFERROR(INDEX(T_Roles[תפקידים],2),"")</f>
        <v>0</v>
      </c>
      <c r="B32" s="71" t="n">
        <f aca="false">IFERROR(SUMPRODUCT((T_Standards[מחלקה]=$B$3)*(T_Standards[תפקיד]=A32)*(T_Standards[משמרת]="ערב")*T_Standards[תקן]),0)</f>
        <v>0</v>
      </c>
      <c r="C32" s="50" t="n">
        <f aca="false">IFERROR(COUNTIFS(T_Assign[תאריך],$E$3,T_Assign[משמרת],"ערב",T_Assign[מחלקה],$B$3,T_Assign[תפקיד],A32),0)</f>
        <v>0</v>
      </c>
      <c r="D32" s="25" t="n">
        <f aca="false">IFERROR(B32-C32,0)</f>
        <v>0</v>
      </c>
      <c r="E32" s="52" t="str">
        <f aca="false">IFERROR(IF(A32="","",IF(D32=0,"✓ מאויש",IF(D32&gt;0,"⚠ חוסר","↑ עודף"))),"")</f>
        <v/>
      </c>
      <c r="F32" s="72" t="str">
        <f aca="false">IFERROR(textjoin(", ",TRUE(),IF((T_Assign[תאריך]=$E$3)*(T_Assign[משמרת]="ערב")*(T_Assign[מחלקה]=$B$3)*(T_Assign[תפקיד]=A32),T_Assign[שם],"")),"")</f>
        <v/>
      </c>
      <c r="G32" s="73" t="str">
        <f aca="false">IFERROR(textjoin(", ",TRUE(),IF((T_Assign[תאריך]=$E$3)*(T_Assign[משמרת]="ערב")*(T_Assign[מחלקה]=$B$3)*(T_Assign[תפקיד]=A32)*(T_Assign[סוג]="יועץ"),T_Assign[שם],"")),"")</f>
        <v/>
      </c>
    </row>
    <row r="33" customFormat="false" ht="19.5" hidden="false" customHeight="true" outlineLevel="0" collapsed="false">
      <c r="A33" s="68" t="n">
        <f aca="false">IFERROR(INDEX(T_Roles[תפקידים],3),"")</f>
        <v>0</v>
      </c>
      <c r="B33" s="69" t="n">
        <f aca="false">IFERROR(SUMPRODUCT((T_Standards[מחלקה]=$B$3)*(T_Standards[תפקיד]=A33)*(T_Standards[משמרת]="ערב")*T_Standards[תקן]),0)</f>
        <v>0</v>
      </c>
      <c r="C33" s="44" t="n">
        <f aca="false">IFERROR(COUNTIFS(T_Assign[תאריך],$E$3,T_Assign[משמרת],"ערב",T_Assign[מחלקה],$B$3,T_Assign[תפקיד],A33),0)</f>
        <v>0</v>
      </c>
      <c r="D33" s="11" t="n">
        <f aca="false">IFERROR(B33-C33,0)</f>
        <v>0</v>
      </c>
      <c r="E33" s="49" t="str">
        <f aca="false">IFERROR(IF(A33="","",IF(D33=0,"✓ מאויש",IF(D33&gt;0,"⚠ חוסר","↑ עודף"))),"")</f>
        <v/>
      </c>
      <c r="F33" s="20" t="str">
        <f aca="false">IFERROR(textjoin(", ",TRUE(),IF((T_Assign[תאריך]=$E$3)*(T_Assign[משמרת]="ערב")*(T_Assign[מחלקה]=$B$3)*(T_Assign[תפקיד]=A33),T_Assign[שם],"")),"")</f>
        <v/>
      </c>
      <c r="G33" s="70" t="str">
        <f aca="false">IFERROR(textjoin(", ",TRUE(),IF((T_Assign[תאריך]=$E$3)*(T_Assign[משמרת]="ערב")*(T_Assign[מחלקה]=$B$3)*(T_Assign[תפקיד]=A33)*(T_Assign[סוג]="יועץ"),T_Assign[שם],"")),"")</f>
        <v/>
      </c>
    </row>
    <row r="34" customFormat="false" ht="19.5" hidden="false" customHeight="true" outlineLevel="0" collapsed="false">
      <c r="A34" s="68" t="n">
        <f aca="false">IFERROR(INDEX(T_Roles[תפקידים],4),"")</f>
        <v>0</v>
      </c>
      <c r="B34" s="71" t="n">
        <f aca="false">IFERROR(SUMPRODUCT((T_Standards[מחלקה]=$B$3)*(T_Standards[תפקיד]=A34)*(T_Standards[משמרת]="ערב")*T_Standards[תקן]),0)</f>
        <v>0</v>
      </c>
      <c r="C34" s="50" t="n">
        <f aca="false">IFERROR(COUNTIFS(T_Assign[תאריך],$E$3,T_Assign[משמרת],"ערב",T_Assign[מחלקה],$B$3,T_Assign[תפקיד],A34),0)</f>
        <v>0</v>
      </c>
      <c r="D34" s="25" t="n">
        <f aca="false">IFERROR(B34-C34,0)</f>
        <v>0</v>
      </c>
      <c r="E34" s="52" t="str">
        <f aca="false">IFERROR(IF(A34="","",IF(D34=0,"✓ מאויש",IF(D34&gt;0,"⚠ חוסר","↑ עודף"))),"")</f>
        <v/>
      </c>
      <c r="F34" s="72" t="str">
        <f aca="false">IFERROR(textjoin(", ",TRUE(),IF((T_Assign[תאריך]=$E$3)*(T_Assign[משמרת]="ערב")*(T_Assign[מחלקה]=$B$3)*(T_Assign[תפקיד]=A34),T_Assign[שם],"")),"")</f>
        <v/>
      </c>
      <c r="G34" s="73" t="str">
        <f aca="false">IFERROR(textjoin(", ",TRUE(),IF((T_Assign[תאריך]=$E$3)*(T_Assign[משמרת]="ערב")*(T_Assign[מחלקה]=$B$3)*(T_Assign[תפקיד]=A34)*(T_Assign[סוג]="יועץ"),T_Assign[שם],"")),"")</f>
        <v/>
      </c>
    </row>
    <row r="35" customFormat="false" ht="19.5" hidden="false" customHeight="true" outlineLevel="0" collapsed="false">
      <c r="A35" s="68" t="n">
        <f aca="false">IFERROR(INDEX(T_Roles[תפקידים],5),"")</f>
        <v>0</v>
      </c>
      <c r="B35" s="69" t="n">
        <f aca="false">IFERROR(SUMPRODUCT((T_Standards[מחלקה]=$B$3)*(T_Standards[תפקיד]=A35)*(T_Standards[משמרת]="ערב")*T_Standards[תקן]),0)</f>
        <v>0</v>
      </c>
      <c r="C35" s="44" t="n">
        <f aca="false">IFERROR(COUNTIFS(T_Assign[תאריך],$E$3,T_Assign[משמרת],"ערב",T_Assign[מחלקה],$B$3,T_Assign[תפקיד],A35),0)</f>
        <v>0</v>
      </c>
      <c r="D35" s="11" t="n">
        <f aca="false">IFERROR(B35-C35,0)</f>
        <v>0</v>
      </c>
      <c r="E35" s="49" t="str">
        <f aca="false">IFERROR(IF(A35="","",IF(D35=0,"✓ מאויש",IF(D35&gt;0,"⚠ חוסר","↑ עודף"))),"")</f>
        <v/>
      </c>
      <c r="F35" s="20" t="str">
        <f aca="false">IFERROR(textjoin(", ",TRUE(),IF((T_Assign[תאריך]=$E$3)*(T_Assign[משמרת]="ערב")*(T_Assign[מחלקה]=$B$3)*(T_Assign[תפקיד]=A35),T_Assign[שם],"")),"")</f>
        <v/>
      </c>
      <c r="G35" s="70" t="str">
        <f aca="false">IFERROR(textjoin(", ",TRUE(),IF((T_Assign[תאריך]=$E$3)*(T_Assign[משמרת]="ערב")*(T_Assign[מחלקה]=$B$3)*(T_Assign[תפקיד]=A35)*(T_Assign[סוג]="יועץ"),T_Assign[שם],"")),"")</f>
        <v/>
      </c>
    </row>
    <row r="36" customFormat="false" ht="19.5" hidden="false" customHeight="true" outlineLevel="0" collapsed="false">
      <c r="A36" s="68" t="n">
        <f aca="false">IFERROR(INDEX(T_Roles[תפקידים],6),"")</f>
        <v>0</v>
      </c>
      <c r="B36" s="71" t="n">
        <f aca="false">IFERROR(SUMPRODUCT((T_Standards[מחלקה]=$B$3)*(T_Standards[תפקיד]=A36)*(T_Standards[משמרת]="ערב")*T_Standards[תקן]),0)</f>
        <v>0</v>
      </c>
      <c r="C36" s="50" t="n">
        <f aca="false">IFERROR(COUNTIFS(T_Assign[תאריך],$E$3,T_Assign[משמרת],"ערב",T_Assign[מחלקה],$B$3,T_Assign[תפקיד],A36),0)</f>
        <v>0</v>
      </c>
      <c r="D36" s="25" t="n">
        <f aca="false">IFERROR(B36-C36,0)</f>
        <v>0</v>
      </c>
      <c r="E36" s="52" t="str">
        <f aca="false">IFERROR(IF(A36="","",IF(D36=0,"✓ מאויש",IF(D36&gt;0,"⚠ חוסר","↑ עודף"))),"")</f>
        <v/>
      </c>
      <c r="F36" s="72" t="str">
        <f aca="false">IFERROR(textjoin(", ",TRUE(),IF((T_Assign[תאריך]=$E$3)*(T_Assign[משמרת]="ערב")*(T_Assign[מחלקה]=$B$3)*(T_Assign[תפקיד]=A36),T_Assign[שם],"")),"")</f>
        <v/>
      </c>
      <c r="G36" s="73" t="str">
        <f aca="false">IFERROR(textjoin(", ",TRUE(),IF((T_Assign[תאריך]=$E$3)*(T_Assign[משמרת]="ערב")*(T_Assign[מחלקה]=$B$3)*(T_Assign[תפקיד]=A36)*(T_Assign[סוג]="יועץ"),T_Assign[שם],"")),"")</f>
        <v/>
      </c>
    </row>
    <row r="37" customFormat="false" ht="19.5" hidden="false" customHeight="true" outlineLevel="0" collapsed="false">
      <c r="A37" s="68" t="n">
        <f aca="false">IFERROR(INDEX(T_Roles[תפקידים],7),"")</f>
        <v>0</v>
      </c>
      <c r="B37" s="69" t="n">
        <f aca="false">IFERROR(SUMPRODUCT((T_Standards[מחלקה]=$B$3)*(T_Standards[תפקיד]=A37)*(T_Standards[משמרת]="ערב")*T_Standards[תקן]),0)</f>
        <v>0</v>
      </c>
      <c r="C37" s="44" t="n">
        <f aca="false">IFERROR(COUNTIFS(T_Assign[תאריך],$E$3,T_Assign[משמרת],"ערב",T_Assign[מחלקה],$B$3,T_Assign[תפקיד],A37),0)</f>
        <v>0</v>
      </c>
      <c r="D37" s="11" t="n">
        <f aca="false">IFERROR(B37-C37,0)</f>
        <v>0</v>
      </c>
      <c r="E37" s="49" t="str">
        <f aca="false">IFERROR(IF(A37="","",IF(D37=0,"✓ מאויש",IF(D37&gt;0,"⚠ חוסר","↑ עודף"))),"")</f>
        <v/>
      </c>
      <c r="F37" s="20" t="str">
        <f aca="false">IFERROR(textjoin(", ",TRUE(),IF((T_Assign[תאריך]=$E$3)*(T_Assign[משמרת]="ערב")*(T_Assign[מחלקה]=$B$3)*(T_Assign[תפקיד]=A37),T_Assign[שם],"")),"")</f>
        <v/>
      </c>
      <c r="G37" s="70" t="str">
        <f aca="false">IFERROR(textjoin(", ",TRUE(),IF((T_Assign[תאריך]=$E$3)*(T_Assign[משמרת]="ערב")*(T_Assign[מחלקה]=$B$3)*(T_Assign[תפקיד]=A37)*(T_Assign[סוג]="יועץ"),T_Assign[שם],"")),"")</f>
        <v/>
      </c>
    </row>
    <row r="38" customFormat="false" ht="19.5" hidden="false" customHeight="true" outlineLevel="0" collapsed="false">
      <c r="A38" s="68" t="n">
        <f aca="false">IFERROR(INDEX(T_Roles[תפקידים],8),"")</f>
        <v>0</v>
      </c>
      <c r="B38" s="71" t="n">
        <f aca="false">IFERROR(SUMPRODUCT((T_Standards[מחלקה]=$B$3)*(T_Standards[תפקיד]=A38)*(T_Standards[משמרת]="ערב")*T_Standards[תקן]),0)</f>
        <v>0</v>
      </c>
      <c r="C38" s="50" t="n">
        <f aca="false">IFERROR(COUNTIFS(T_Assign[תאריך],$E$3,T_Assign[משמרת],"ערב",T_Assign[מחלקה],$B$3,T_Assign[תפקיד],A38),0)</f>
        <v>0</v>
      </c>
      <c r="D38" s="25" t="n">
        <f aca="false">IFERROR(B38-C38,0)</f>
        <v>0</v>
      </c>
      <c r="E38" s="52" t="str">
        <f aca="false">IFERROR(IF(A38="","",IF(D38=0,"✓ מאויש",IF(D38&gt;0,"⚠ חוסר","↑ עודף"))),"")</f>
        <v/>
      </c>
      <c r="F38" s="72" t="str">
        <f aca="false">IFERROR(textjoin(", ",TRUE(),IF((T_Assign[תאריך]=$E$3)*(T_Assign[משמרת]="ערב")*(T_Assign[מחלקה]=$B$3)*(T_Assign[תפקיד]=A38),T_Assign[שם],"")),"")</f>
        <v/>
      </c>
      <c r="G38" s="73" t="str">
        <f aca="false">IFERROR(textjoin(", ",TRUE(),IF((T_Assign[תאריך]=$E$3)*(T_Assign[משמרת]="ערב")*(T_Assign[מחלקה]=$B$3)*(T_Assign[תפקיד]=A38)*(T_Assign[סוג]="יועץ"),T_Assign[שם],"")),"")</f>
        <v/>
      </c>
    </row>
    <row r="39" customFormat="false" ht="15" hidden="false" customHeight="true" outlineLevel="0" collapsed="false">
      <c r="A39" s="80" t="s">
        <v>72</v>
      </c>
      <c r="B39" s="81" t="n">
        <f aca="false">IFERROR(SUM(B31:B38),0)</f>
        <v>0</v>
      </c>
      <c r="C39" s="81" t="n">
        <f aca="false">IFERROR(SUM(C31:C38),0)</f>
        <v>0</v>
      </c>
      <c r="D39" s="81" t="n">
        <f aca="false">IFERROR(B39-C39,0)</f>
        <v>0</v>
      </c>
      <c r="E39" s="82"/>
      <c r="F39" s="82"/>
      <c r="G39" s="82"/>
    </row>
  </sheetData>
  <mergeCells count="4">
    <mergeCell ref="A1:H1"/>
    <mergeCell ref="A5:H5"/>
    <mergeCell ref="A17:H17"/>
    <mergeCell ref="A29:H29"/>
  </mergeCells>
  <conditionalFormatting sqref="E7">
    <cfRule type="expression" priority="2" aboveAverage="0" equalAverage="0" bottom="0" percent="0" rank="0" text="" dxfId="11">
      <formula>E7="✓ מאויש"</formula>
    </cfRule>
    <cfRule type="expression" priority="3" aboveAverage="0" equalAverage="0" bottom="0" percent="0" rank="0" text="" dxfId="12">
      <formula>ISNUMBER(SEARCH("חוסר",E7))</formula>
    </cfRule>
    <cfRule type="expression" priority="4" aboveAverage="0" equalAverage="0" bottom="0" percent="0" rank="0" text="" dxfId="13">
      <formula>ISNUMBER(SEARCH("עודף",E7))</formula>
    </cfRule>
  </conditionalFormatting>
  <conditionalFormatting sqref="E8">
    <cfRule type="expression" priority="5" aboveAverage="0" equalAverage="0" bottom="0" percent="0" rank="0" text="" dxfId="11">
      <formula>E8="✓ מאויש"</formula>
    </cfRule>
    <cfRule type="expression" priority="6" aboveAverage="0" equalAverage="0" bottom="0" percent="0" rank="0" text="" dxfId="12">
      <formula>ISNUMBER(SEARCH("חוסר",E8))</formula>
    </cfRule>
    <cfRule type="expression" priority="7" aboveAverage="0" equalAverage="0" bottom="0" percent="0" rank="0" text="" dxfId="13">
      <formula>ISNUMBER(SEARCH("עודף",E8))</formula>
    </cfRule>
  </conditionalFormatting>
  <conditionalFormatting sqref="E9">
    <cfRule type="expression" priority="8" aboveAverage="0" equalAverage="0" bottom="0" percent="0" rank="0" text="" dxfId="11">
      <formula>E9="✓ מאויש"</formula>
    </cfRule>
    <cfRule type="expression" priority="9" aboveAverage="0" equalAverage="0" bottom="0" percent="0" rank="0" text="" dxfId="12">
      <formula>ISNUMBER(SEARCH("חוסר",E9))</formula>
    </cfRule>
    <cfRule type="expression" priority="10" aboveAverage="0" equalAverage="0" bottom="0" percent="0" rank="0" text="" dxfId="13">
      <formula>ISNUMBER(SEARCH("עודף",E9))</formula>
    </cfRule>
  </conditionalFormatting>
  <conditionalFormatting sqref="E10">
    <cfRule type="expression" priority="11" aboveAverage="0" equalAverage="0" bottom="0" percent="0" rank="0" text="" dxfId="11">
      <formula>E10="✓ מאויש"</formula>
    </cfRule>
    <cfRule type="expression" priority="12" aboveAverage="0" equalAverage="0" bottom="0" percent="0" rank="0" text="" dxfId="12">
      <formula>ISNUMBER(SEARCH("חוסר",E10))</formula>
    </cfRule>
    <cfRule type="expression" priority="13" aboveAverage="0" equalAverage="0" bottom="0" percent="0" rank="0" text="" dxfId="13">
      <formula>ISNUMBER(SEARCH("עודף",E10))</formula>
    </cfRule>
  </conditionalFormatting>
  <conditionalFormatting sqref="E11">
    <cfRule type="expression" priority="14" aboveAverage="0" equalAverage="0" bottom="0" percent="0" rank="0" text="" dxfId="11">
      <formula>E11="✓ מאויש"</formula>
    </cfRule>
    <cfRule type="expression" priority="15" aboveAverage="0" equalAverage="0" bottom="0" percent="0" rank="0" text="" dxfId="12">
      <formula>ISNUMBER(SEARCH("חוסר",E11))</formula>
    </cfRule>
    <cfRule type="expression" priority="16" aboveAverage="0" equalAverage="0" bottom="0" percent="0" rank="0" text="" dxfId="13">
      <formula>ISNUMBER(SEARCH("עודף",E11))</formula>
    </cfRule>
  </conditionalFormatting>
  <conditionalFormatting sqref="E12">
    <cfRule type="expression" priority="17" aboveAverage="0" equalAverage="0" bottom="0" percent="0" rank="0" text="" dxfId="11">
      <formula>E12="✓ מאויש"</formula>
    </cfRule>
    <cfRule type="expression" priority="18" aboveAverage="0" equalAverage="0" bottom="0" percent="0" rank="0" text="" dxfId="12">
      <formula>ISNUMBER(SEARCH("חוסר",E12))</formula>
    </cfRule>
    <cfRule type="expression" priority="19" aboveAverage="0" equalAverage="0" bottom="0" percent="0" rank="0" text="" dxfId="13">
      <formula>ISNUMBER(SEARCH("עודף",E12))</formula>
    </cfRule>
  </conditionalFormatting>
  <conditionalFormatting sqref="E13">
    <cfRule type="expression" priority="20" aboveAverage="0" equalAverage="0" bottom="0" percent="0" rank="0" text="" dxfId="11">
      <formula>E13="✓ מאויש"</formula>
    </cfRule>
    <cfRule type="expression" priority="21" aboveAverage="0" equalAverage="0" bottom="0" percent="0" rank="0" text="" dxfId="12">
      <formula>ISNUMBER(SEARCH("חוסר",E13))</formula>
    </cfRule>
    <cfRule type="expression" priority="22" aboveAverage="0" equalAverage="0" bottom="0" percent="0" rank="0" text="" dxfId="13">
      <formula>ISNUMBER(SEARCH("עודף",E13))</formula>
    </cfRule>
  </conditionalFormatting>
  <conditionalFormatting sqref="E14">
    <cfRule type="expression" priority="23" aboveAverage="0" equalAverage="0" bottom="0" percent="0" rank="0" text="" dxfId="11">
      <formula>E14="✓ מאויש"</formula>
    </cfRule>
    <cfRule type="expression" priority="24" aboveAverage="0" equalAverage="0" bottom="0" percent="0" rank="0" text="" dxfId="12">
      <formula>ISNUMBER(SEARCH("חוסר",E14))</formula>
    </cfRule>
    <cfRule type="expression" priority="25" aboveAverage="0" equalAverage="0" bottom="0" percent="0" rank="0" text="" dxfId="13">
      <formula>ISNUMBER(SEARCH("עודף",E14))</formula>
    </cfRule>
  </conditionalFormatting>
  <conditionalFormatting sqref="E19">
    <cfRule type="expression" priority="26" aboveAverage="0" equalAverage="0" bottom="0" percent="0" rank="0" text="" dxfId="11">
      <formula>E19="✓ מאויש"</formula>
    </cfRule>
    <cfRule type="expression" priority="27" aboveAverage="0" equalAverage="0" bottom="0" percent="0" rank="0" text="" dxfId="12">
      <formula>ISNUMBER(SEARCH("חוסר",E19))</formula>
    </cfRule>
    <cfRule type="expression" priority="28" aboveAverage="0" equalAverage="0" bottom="0" percent="0" rank="0" text="" dxfId="13">
      <formula>ISNUMBER(SEARCH("עודף",E19))</formula>
    </cfRule>
  </conditionalFormatting>
  <conditionalFormatting sqref="E20">
    <cfRule type="expression" priority="29" aboveAverage="0" equalAverage="0" bottom="0" percent="0" rank="0" text="" dxfId="11">
      <formula>E20="✓ מאויש"</formula>
    </cfRule>
    <cfRule type="expression" priority="30" aboveAverage="0" equalAverage="0" bottom="0" percent="0" rank="0" text="" dxfId="12">
      <formula>ISNUMBER(SEARCH("חוסר",E20))</formula>
    </cfRule>
    <cfRule type="expression" priority="31" aboveAverage="0" equalAverage="0" bottom="0" percent="0" rank="0" text="" dxfId="13">
      <formula>ISNUMBER(SEARCH("עודף",E20))</formula>
    </cfRule>
  </conditionalFormatting>
  <conditionalFormatting sqref="E21">
    <cfRule type="expression" priority="32" aboveAverage="0" equalAverage="0" bottom="0" percent="0" rank="0" text="" dxfId="11">
      <formula>E21="✓ מאויש"</formula>
    </cfRule>
    <cfRule type="expression" priority="33" aboveAverage="0" equalAverage="0" bottom="0" percent="0" rank="0" text="" dxfId="12">
      <formula>ISNUMBER(SEARCH("חוסר",E21))</formula>
    </cfRule>
    <cfRule type="expression" priority="34" aboveAverage="0" equalAverage="0" bottom="0" percent="0" rank="0" text="" dxfId="13">
      <formula>ISNUMBER(SEARCH("עודף",E21))</formula>
    </cfRule>
  </conditionalFormatting>
  <conditionalFormatting sqref="E22">
    <cfRule type="expression" priority="35" aboveAverage="0" equalAverage="0" bottom="0" percent="0" rank="0" text="" dxfId="11">
      <formula>E22="✓ מאויש"</formula>
    </cfRule>
    <cfRule type="expression" priority="36" aboveAverage="0" equalAverage="0" bottom="0" percent="0" rank="0" text="" dxfId="12">
      <formula>ISNUMBER(SEARCH("חוסר",E22))</formula>
    </cfRule>
    <cfRule type="expression" priority="37" aboveAverage="0" equalAverage="0" bottom="0" percent="0" rank="0" text="" dxfId="13">
      <formula>ISNUMBER(SEARCH("עודף",E22))</formula>
    </cfRule>
  </conditionalFormatting>
  <conditionalFormatting sqref="E23">
    <cfRule type="expression" priority="38" aboveAverage="0" equalAverage="0" bottom="0" percent="0" rank="0" text="" dxfId="11">
      <formula>E23="✓ מאויש"</formula>
    </cfRule>
    <cfRule type="expression" priority="39" aboveAverage="0" equalAverage="0" bottom="0" percent="0" rank="0" text="" dxfId="12">
      <formula>ISNUMBER(SEARCH("חוסר",E23))</formula>
    </cfRule>
    <cfRule type="expression" priority="40" aboveAverage="0" equalAverage="0" bottom="0" percent="0" rank="0" text="" dxfId="13">
      <formula>ISNUMBER(SEARCH("עודף",E23))</formula>
    </cfRule>
  </conditionalFormatting>
  <conditionalFormatting sqref="E24">
    <cfRule type="expression" priority="41" aboveAverage="0" equalAverage="0" bottom="0" percent="0" rank="0" text="" dxfId="11">
      <formula>E24="✓ מאויש"</formula>
    </cfRule>
    <cfRule type="expression" priority="42" aboveAverage="0" equalAverage="0" bottom="0" percent="0" rank="0" text="" dxfId="12">
      <formula>ISNUMBER(SEARCH("חוסר",E24))</formula>
    </cfRule>
    <cfRule type="expression" priority="43" aboveAverage="0" equalAverage="0" bottom="0" percent="0" rank="0" text="" dxfId="13">
      <formula>ISNUMBER(SEARCH("עודף",E24))</formula>
    </cfRule>
  </conditionalFormatting>
  <conditionalFormatting sqref="E25">
    <cfRule type="expression" priority="44" aboveAverage="0" equalAverage="0" bottom="0" percent="0" rank="0" text="" dxfId="11">
      <formula>E25="✓ מאויש"</formula>
    </cfRule>
    <cfRule type="expression" priority="45" aboveAverage="0" equalAverage="0" bottom="0" percent="0" rank="0" text="" dxfId="12">
      <formula>ISNUMBER(SEARCH("חוסר",E25))</formula>
    </cfRule>
    <cfRule type="expression" priority="46" aboveAverage="0" equalAverage="0" bottom="0" percent="0" rank="0" text="" dxfId="13">
      <formula>ISNUMBER(SEARCH("עודף",E25))</formula>
    </cfRule>
  </conditionalFormatting>
  <conditionalFormatting sqref="E26">
    <cfRule type="expression" priority="47" aboveAverage="0" equalAverage="0" bottom="0" percent="0" rank="0" text="" dxfId="11">
      <formula>E26="✓ מאויש"</formula>
    </cfRule>
    <cfRule type="expression" priority="48" aboveAverage="0" equalAverage="0" bottom="0" percent="0" rank="0" text="" dxfId="12">
      <formula>ISNUMBER(SEARCH("חוסר",E26))</formula>
    </cfRule>
    <cfRule type="expression" priority="49" aboveAverage="0" equalAverage="0" bottom="0" percent="0" rank="0" text="" dxfId="13">
      <formula>ISNUMBER(SEARCH("עודף",E26))</formula>
    </cfRule>
  </conditionalFormatting>
  <conditionalFormatting sqref="E31">
    <cfRule type="expression" priority="50" aboveAverage="0" equalAverage="0" bottom="0" percent="0" rank="0" text="" dxfId="11">
      <formula>E31="✓ מאויש"</formula>
    </cfRule>
    <cfRule type="expression" priority="51" aboveAverage="0" equalAverage="0" bottom="0" percent="0" rank="0" text="" dxfId="12">
      <formula>ISNUMBER(SEARCH("חוסר",E31))</formula>
    </cfRule>
    <cfRule type="expression" priority="52" aboveAverage="0" equalAverage="0" bottom="0" percent="0" rank="0" text="" dxfId="13">
      <formula>ISNUMBER(SEARCH("עודף",E31))</formula>
    </cfRule>
  </conditionalFormatting>
  <conditionalFormatting sqref="E32">
    <cfRule type="expression" priority="53" aboveAverage="0" equalAverage="0" bottom="0" percent="0" rank="0" text="" dxfId="11">
      <formula>E32="✓ מאויש"</formula>
    </cfRule>
    <cfRule type="expression" priority="54" aboveAverage="0" equalAverage="0" bottom="0" percent="0" rank="0" text="" dxfId="12">
      <formula>ISNUMBER(SEARCH("חוסר",E32))</formula>
    </cfRule>
    <cfRule type="expression" priority="55" aboveAverage="0" equalAverage="0" bottom="0" percent="0" rank="0" text="" dxfId="13">
      <formula>ISNUMBER(SEARCH("עודף",E32))</formula>
    </cfRule>
  </conditionalFormatting>
  <conditionalFormatting sqref="E33">
    <cfRule type="expression" priority="56" aboveAverage="0" equalAverage="0" bottom="0" percent="0" rank="0" text="" dxfId="11">
      <formula>E33="✓ מאויש"</formula>
    </cfRule>
    <cfRule type="expression" priority="57" aboveAverage="0" equalAverage="0" bottom="0" percent="0" rank="0" text="" dxfId="12">
      <formula>ISNUMBER(SEARCH("חוסר",E33))</formula>
    </cfRule>
    <cfRule type="expression" priority="58" aboveAverage="0" equalAverage="0" bottom="0" percent="0" rank="0" text="" dxfId="13">
      <formula>ISNUMBER(SEARCH("עודף",E33))</formula>
    </cfRule>
  </conditionalFormatting>
  <conditionalFormatting sqref="E34">
    <cfRule type="expression" priority="59" aboveAverage="0" equalAverage="0" bottom="0" percent="0" rank="0" text="" dxfId="11">
      <formula>E34="✓ מאויש"</formula>
    </cfRule>
    <cfRule type="expression" priority="60" aboveAverage="0" equalAverage="0" bottom="0" percent="0" rank="0" text="" dxfId="12">
      <formula>ISNUMBER(SEARCH("חוסר",E34))</formula>
    </cfRule>
    <cfRule type="expression" priority="61" aboveAverage="0" equalAverage="0" bottom="0" percent="0" rank="0" text="" dxfId="13">
      <formula>ISNUMBER(SEARCH("עודף",E34))</formula>
    </cfRule>
  </conditionalFormatting>
  <conditionalFormatting sqref="E35">
    <cfRule type="expression" priority="62" aboveAverage="0" equalAverage="0" bottom="0" percent="0" rank="0" text="" dxfId="11">
      <formula>E35="✓ מאויש"</formula>
    </cfRule>
    <cfRule type="expression" priority="63" aboveAverage="0" equalAverage="0" bottom="0" percent="0" rank="0" text="" dxfId="12">
      <formula>ISNUMBER(SEARCH("חוסר",E35))</formula>
    </cfRule>
    <cfRule type="expression" priority="64" aboveAverage="0" equalAverage="0" bottom="0" percent="0" rank="0" text="" dxfId="13">
      <formula>ISNUMBER(SEARCH("עודף",E35))</formula>
    </cfRule>
  </conditionalFormatting>
  <conditionalFormatting sqref="E36">
    <cfRule type="expression" priority="65" aboveAverage="0" equalAverage="0" bottom="0" percent="0" rank="0" text="" dxfId="11">
      <formula>E36="✓ מאויש"</formula>
    </cfRule>
    <cfRule type="expression" priority="66" aboveAverage="0" equalAverage="0" bottom="0" percent="0" rank="0" text="" dxfId="12">
      <formula>ISNUMBER(SEARCH("חוסר",E36))</formula>
    </cfRule>
    <cfRule type="expression" priority="67" aboveAverage="0" equalAverage="0" bottom="0" percent="0" rank="0" text="" dxfId="13">
      <formula>ISNUMBER(SEARCH("עודף",E36))</formula>
    </cfRule>
  </conditionalFormatting>
  <conditionalFormatting sqref="E37">
    <cfRule type="expression" priority="68" aboveAverage="0" equalAverage="0" bottom="0" percent="0" rank="0" text="" dxfId="11">
      <formula>E37="✓ מאויש"</formula>
    </cfRule>
    <cfRule type="expression" priority="69" aboveAverage="0" equalAverage="0" bottom="0" percent="0" rank="0" text="" dxfId="12">
      <formula>ISNUMBER(SEARCH("חוסר",E37))</formula>
    </cfRule>
    <cfRule type="expression" priority="70" aboveAverage="0" equalAverage="0" bottom="0" percent="0" rank="0" text="" dxfId="13">
      <formula>ISNUMBER(SEARCH("עודף",E37))</formula>
    </cfRule>
  </conditionalFormatting>
  <conditionalFormatting sqref="E38">
    <cfRule type="expression" priority="71" aboveAverage="0" equalAverage="0" bottom="0" percent="0" rank="0" text="" dxfId="11">
      <formula>E38="✓ מאויש"</formula>
    </cfRule>
    <cfRule type="expression" priority="72" aboveAverage="0" equalAverage="0" bottom="0" percent="0" rank="0" text="" dxfId="12">
      <formula>ISNUMBER(SEARCH("חוסר",E38))</formula>
    </cfRule>
    <cfRule type="expression" priority="73" aboveAverage="0" equalAverage="0" bottom="0" percent="0" rank="0" text="" dxfId="13">
      <formula>ISNUMBER(SEARCH("עודף",E38))</formula>
    </cfRule>
  </conditionalFormatting>
  <dataValidations count="1">
    <dataValidation allowBlank="false" error="בחר מהרשימה" errorStyle="stop" errorTitle="שגיאה" operator="between" showDropDown="false" showErrorMessage="true" showInputMessage="false" sqref="B3" type="list">
      <formula1>T_Depts[מחלקה]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8"/>
    <col collapsed="false" customWidth="true" hidden="false" outlineLevel="0" max="11" min="9" style="1" width="10"/>
  </cols>
  <sheetData>
    <row r="1" customFormat="false" ht="31.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21" t="s">
        <v>34</v>
      </c>
      <c r="B3" s="66"/>
      <c r="C3" s="36" t="s">
        <v>65</v>
      </c>
    </row>
    <row r="5" customFormat="false" ht="21.75" hidden="false" customHeight="true" outlineLevel="0" collapsed="false">
      <c r="A5" s="19" t="s">
        <v>74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19" t="s">
        <v>59</v>
      </c>
      <c r="J5" s="19" t="s">
        <v>43</v>
      </c>
      <c r="K5" s="19" t="s">
        <v>49</v>
      </c>
    </row>
    <row r="6" customFormat="false" ht="15" hidden="false" customHeight="true" outlineLevel="0" collapsed="false">
      <c r="A6" s="56"/>
      <c r="B6" s="57" t="n">
        <f aca="false">הגדרות!$C$3+0</f>
        <v>46096</v>
      </c>
      <c r="C6" s="57" t="n">
        <f aca="false">הגדרות!$C$3+1</f>
        <v>46097</v>
      </c>
      <c r="D6" s="57" t="n">
        <f aca="false">הגדרות!$C$3+2</f>
        <v>46098</v>
      </c>
      <c r="E6" s="57" t="n">
        <f aca="false">הגדרות!$C$3+3</f>
        <v>46099</v>
      </c>
      <c r="F6" s="57" t="n">
        <f aca="false">הגדרות!$C$3+4</f>
        <v>46100</v>
      </c>
      <c r="G6" s="57" t="n">
        <f aca="false">הגדרות!$C$3+5</f>
        <v>46101</v>
      </c>
      <c r="H6" s="57" t="n">
        <f aca="false">הגדרות!$C$3+6</f>
        <v>46102</v>
      </c>
      <c r="I6" s="54"/>
      <c r="J6" s="54"/>
      <c r="K6" s="54"/>
    </row>
    <row r="7" customFormat="false" ht="24" hidden="false" customHeight="true" outlineLevel="0" collapsed="false">
      <c r="A7" s="83" t="s">
        <v>75</v>
      </c>
      <c r="B7" s="83"/>
      <c r="C7" s="83"/>
      <c r="D7" s="83"/>
      <c r="E7" s="83"/>
      <c r="F7" s="83"/>
      <c r="G7" s="83"/>
      <c r="H7" s="83"/>
      <c r="I7" s="83"/>
      <c r="J7" s="83"/>
      <c r="K7" s="83"/>
    </row>
    <row r="8" customFormat="false" ht="19.5" hidden="false" customHeight="true" outlineLevel="0" collapsed="false">
      <c r="A8" s="84" t="n">
        <f aca="false">IFERROR(INDEX(T_Roles[תפקידים],1),"")</f>
        <v>0</v>
      </c>
      <c r="B8" s="34" t="n">
        <f aca="false">IFERROR(COUNTIFS(T_Assign[תאריך],לוח_שבועי_מחלקה!B6,T_Assign[משמרת],"בוקר",T_Assign[מחלקה],$B$3,T_Assign[תפקיד],A8),0)</f>
        <v>0</v>
      </c>
      <c r="C8" s="34" t="n">
        <f aca="false">IFERROR(COUNTIFS(T_Assign[תאריך],לוח_שבועי_מחלקה!C6,T_Assign[משמרת],"בוקר",T_Assign[מחלקה],$B$3,T_Assign[תפקיד],A8),0)</f>
        <v>0</v>
      </c>
      <c r="D8" s="34" t="n">
        <f aca="false">IFERROR(COUNTIFS(T_Assign[תאריך],לוח_שבועי_מחלקה!D6,T_Assign[משמרת],"בוקר",T_Assign[מחלקה],$B$3,T_Assign[תפקיד],A8),0)</f>
        <v>0</v>
      </c>
      <c r="E8" s="34" t="n">
        <f aca="false">IFERROR(COUNTIFS(T_Assign[תאריך],לוח_שבועי_מחלקה!E6,T_Assign[משמרת],"בוקר",T_Assign[מחלקה],$B$3,T_Assign[תפקיד],A8),0)</f>
        <v>0</v>
      </c>
      <c r="F8" s="34" t="n">
        <f aca="false">IFERROR(COUNTIFS(T_Assign[תאריך],לוח_שבועי_מחלקה!F6,T_Assign[משמרת],"בוקר",T_Assign[מחלקה],$B$3,T_Assign[תפקיד],A8),0)</f>
        <v>0</v>
      </c>
      <c r="G8" s="34" t="n">
        <f aca="false">IFERROR(COUNTIFS(T_Assign[תאריך],לוח_שבועי_מחלקה!G6,T_Assign[משמרת],"בוקר",T_Assign[מחלקה],$B$3,T_Assign[תפקיד],A8),0)</f>
        <v>0</v>
      </c>
      <c r="H8" s="34" t="n">
        <f aca="false">IFERROR(COUNTIFS(T_Assign[תאריך],לוח_שבועי_מחלקה!H6,T_Assign[משמרת],"בוקר",T_Assign[מחלקה],$B$3,T_Assign[תפקיד],A8),0)</f>
        <v>0</v>
      </c>
      <c r="I8" s="65" t="n">
        <f aca="false">IFERROR(SUM(B8:H8),0)</f>
        <v>0</v>
      </c>
      <c r="J8" s="85" t="n">
        <f aca="false">IFERROR(SUMPRODUCT((T_Standards[מחלקה]=$B$3)*(T_Standards[תפקיד]=A8)*(T_Standards[משמרת]="בוקר")*T_Standards[תקן])*7,0)</f>
        <v>0</v>
      </c>
      <c r="K8" s="86" t="n">
        <f aca="false">IFERROR(J8-I8,0)</f>
        <v>0</v>
      </c>
    </row>
    <row r="9" customFormat="false" ht="19.5" hidden="false" customHeight="true" outlineLevel="0" collapsed="false">
      <c r="A9" s="84" t="n">
        <f aca="false">IFERROR(INDEX(T_Roles[תפקידים],2),"")</f>
        <v>0</v>
      </c>
      <c r="B9" s="64" t="n">
        <f aca="false">IFERROR(COUNTIFS(T_Assign[תאריך],לוח_שבועי_מחלקה!B6,T_Assign[משמרת],"בוקר",T_Assign[מחלקה],$B$3,T_Assign[תפקיד],A9),0)</f>
        <v>0</v>
      </c>
      <c r="C9" s="64" t="n">
        <f aca="false">IFERROR(COUNTIFS(T_Assign[תאריך],לוח_שבועי_מחלקה!C6,T_Assign[משמרת],"בוקר",T_Assign[מחלקה],$B$3,T_Assign[תפקיד],A9),0)</f>
        <v>0</v>
      </c>
      <c r="D9" s="64" t="n">
        <f aca="false">IFERROR(COUNTIFS(T_Assign[תאריך],לוח_שבועי_מחלקה!D6,T_Assign[משמרת],"בוקר",T_Assign[מחלקה],$B$3,T_Assign[תפקיד],A9),0)</f>
        <v>0</v>
      </c>
      <c r="E9" s="64" t="n">
        <f aca="false">IFERROR(COUNTIFS(T_Assign[תאריך],לוח_שבועי_מחלקה!E6,T_Assign[משמרת],"בוקר",T_Assign[מחלקה],$B$3,T_Assign[תפקיד],A9),0)</f>
        <v>0</v>
      </c>
      <c r="F9" s="64" t="n">
        <f aca="false">IFERROR(COUNTIFS(T_Assign[תאריך],לוח_שבועי_מחלקה!F6,T_Assign[משמרת],"בוקר",T_Assign[מחלקה],$B$3,T_Assign[תפקיד],A9),0)</f>
        <v>0</v>
      </c>
      <c r="G9" s="64" t="n">
        <f aca="false">IFERROR(COUNTIFS(T_Assign[תאריך],לוח_שבועי_מחלקה!G6,T_Assign[משמרת],"בוקר",T_Assign[מחלקה],$B$3,T_Assign[תפקיד],A9),0)</f>
        <v>0</v>
      </c>
      <c r="H9" s="64" t="n">
        <f aca="false">IFERROR(COUNTIFS(T_Assign[תאריך],לוח_שבועי_מחלקה!H6,T_Assign[משמרת],"בוקר",T_Assign[מחלקה],$B$3,T_Assign[תפקיד],A9),0)</f>
        <v>0</v>
      </c>
      <c r="I9" s="65" t="n">
        <f aca="false">IFERROR(SUM(B9:H9),0)</f>
        <v>0</v>
      </c>
      <c r="J9" s="85" t="n">
        <f aca="false">IFERROR(SUMPRODUCT((T_Standards[מחלקה]=$B$3)*(T_Standards[תפקיד]=A9)*(T_Standards[משמרת]="בוקר")*T_Standards[תקן])*7,0)</f>
        <v>0</v>
      </c>
      <c r="K9" s="86" t="n">
        <f aca="false">IFERROR(J9-I9,0)</f>
        <v>0</v>
      </c>
    </row>
    <row r="10" customFormat="false" ht="19.5" hidden="false" customHeight="true" outlineLevel="0" collapsed="false">
      <c r="A10" s="84" t="n">
        <f aca="false">IFERROR(INDEX(T_Roles[תפקידים],3),"")</f>
        <v>0</v>
      </c>
      <c r="B10" s="34" t="n">
        <f aca="false">IFERROR(COUNTIFS(T_Assign[תאריך],לוח_שבועי_מחלקה!B6,T_Assign[משמרת],"בוקר",T_Assign[מחלקה],$B$3,T_Assign[תפקיד],A10),0)</f>
        <v>0</v>
      </c>
      <c r="C10" s="34" t="n">
        <f aca="false">IFERROR(COUNTIFS(T_Assign[תאריך],לוח_שבועי_מחלקה!C6,T_Assign[משמרת],"בוקר",T_Assign[מחלקה],$B$3,T_Assign[תפקיד],A10),0)</f>
        <v>0</v>
      </c>
      <c r="D10" s="34" t="n">
        <f aca="false">IFERROR(COUNTIFS(T_Assign[תאריך],לוח_שבועי_מחלקה!D6,T_Assign[משמרת],"בוקר",T_Assign[מחלקה],$B$3,T_Assign[תפקיד],A10),0)</f>
        <v>0</v>
      </c>
      <c r="E10" s="34" t="n">
        <f aca="false">IFERROR(COUNTIFS(T_Assign[תאריך],לוח_שבועי_מחלקה!E6,T_Assign[משמרת],"בוקר",T_Assign[מחלקה],$B$3,T_Assign[תפקיד],A10),0)</f>
        <v>0</v>
      </c>
      <c r="F10" s="34" t="n">
        <f aca="false">IFERROR(COUNTIFS(T_Assign[תאריך],לוח_שבועי_מחלקה!F6,T_Assign[משמרת],"בוקר",T_Assign[מחלקה],$B$3,T_Assign[תפקיד],A10),0)</f>
        <v>0</v>
      </c>
      <c r="G10" s="34" t="n">
        <f aca="false">IFERROR(COUNTIFS(T_Assign[תאריך],לוח_שבועי_מחלקה!G6,T_Assign[משמרת],"בוקר",T_Assign[מחלקה],$B$3,T_Assign[תפקיד],A10),0)</f>
        <v>0</v>
      </c>
      <c r="H10" s="34" t="n">
        <f aca="false">IFERROR(COUNTIFS(T_Assign[תאריך],לוח_שבועי_מחלקה!H6,T_Assign[משמרת],"בוקר",T_Assign[מחלקה],$B$3,T_Assign[תפקיד],A10),0)</f>
        <v>0</v>
      </c>
      <c r="I10" s="65" t="n">
        <f aca="false">IFERROR(SUM(B10:H10),0)</f>
        <v>0</v>
      </c>
      <c r="J10" s="85" t="n">
        <f aca="false">IFERROR(SUMPRODUCT((T_Standards[מחלקה]=$B$3)*(T_Standards[תפקיד]=A10)*(T_Standards[משמרת]="בוקר")*T_Standards[תקן])*7,0)</f>
        <v>0</v>
      </c>
      <c r="K10" s="86" t="n">
        <f aca="false">IFERROR(J10-I10,0)</f>
        <v>0</v>
      </c>
    </row>
    <row r="11" customFormat="false" ht="19.5" hidden="false" customHeight="true" outlineLevel="0" collapsed="false">
      <c r="A11" s="84" t="n">
        <f aca="false">IFERROR(INDEX(T_Roles[תפקידים],4),"")</f>
        <v>0</v>
      </c>
      <c r="B11" s="64" t="n">
        <f aca="false">IFERROR(COUNTIFS(T_Assign[תאריך],לוח_שבועי_מחלקה!B6,T_Assign[משמרת],"בוקר",T_Assign[מחלקה],$B$3,T_Assign[תפקיד],A11),0)</f>
        <v>0</v>
      </c>
      <c r="C11" s="64" t="n">
        <f aca="false">IFERROR(COUNTIFS(T_Assign[תאריך],לוח_שבועי_מחלקה!C6,T_Assign[משמרת],"בוקר",T_Assign[מחלקה],$B$3,T_Assign[תפקיד],A11),0)</f>
        <v>0</v>
      </c>
      <c r="D11" s="64" t="n">
        <f aca="false">IFERROR(COUNTIFS(T_Assign[תאריך],לוח_שבועי_מחלקה!D6,T_Assign[משמרת],"בוקר",T_Assign[מחלקה],$B$3,T_Assign[תפקיד],A11),0)</f>
        <v>0</v>
      </c>
      <c r="E11" s="64" t="n">
        <f aca="false">IFERROR(COUNTIFS(T_Assign[תאריך],לוח_שבועי_מחלקה!E6,T_Assign[משמרת],"בוקר",T_Assign[מחלקה],$B$3,T_Assign[תפקיד],A11),0)</f>
        <v>0</v>
      </c>
      <c r="F11" s="64" t="n">
        <f aca="false">IFERROR(COUNTIFS(T_Assign[תאריך],לוח_שבועי_מחלקה!F6,T_Assign[משמרת],"בוקר",T_Assign[מחלקה],$B$3,T_Assign[תפקיד],A11),0)</f>
        <v>0</v>
      </c>
      <c r="G11" s="64" t="n">
        <f aca="false">IFERROR(COUNTIFS(T_Assign[תאריך],לוח_שבועי_מחלקה!G6,T_Assign[משמרת],"בוקר",T_Assign[מחלקה],$B$3,T_Assign[תפקיד],A11),0)</f>
        <v>0</v>
      </c>
      <c r="H11" s="64" t="n">
        <f aca="false">IFERROR(COUNTIFS(T_Assign[תאריך],לוח_שבועי_מחלקה!H6,T_Assign[משמרת],"בוקר",T_Assign[מחלקה],$B$3,T_Assign[תפקיד],A11),0)</f>
        <v>0</v>
      </c>
      <c r="I11" s="65" t="n">
        <f aca="false">IFERROR(SUM(B11:H11),0)</f>
        <v>0</v>
      </c>
      <c r="J11" s="85" t="n">
        <f aca="false">IFERROR(SUMPRODUCT((T_Standards[מחלקה]=$B$3)*(T_Standards[תפקיד]=A11)*(T_Standards[משמרת]="בוקר")*T_Standards[תקן])*7,0)</f>
        <v>0</v>
      </c>
      <c r="K11" s="86" t="n">
        <f aca="false">IFERROR(J11-I11,0)</f>
        <v>0</v>
      </c>
    </row>
    <row r="12" customFormat="false" ht="19.5" hidden="false" customHeight="true" outlineLevel="0" collapsed="false">
      <c r="A12" s="84" t="n">
        <f aca="false">IFERROR(INDEX(T_Roles[תפקידים],5),"")</f>
        <v>0</v>
      </c>
      <c r="B12" s="34" t="n">
        <f aca="false">IFERROR(COUNTIFS(T_Assign[תאריך],לוח_שבועי_מחלקה!B6,T_Assign[משמרת],"בוקר",T_Assign[מחלקה],$B$3,T_Assign[תפקיד],A12),0)</f>
        <v>0</v>
      </c>
      <c r="C12" s="34" t="n">
        <f aca="false">IFERROR(COUNTIFS(T_Assign[תאריך],לוח_שבועי_מחלקה!C6,T_Assign[משמרת],"בוקר",T_Assign[מחלקה],$B$3,T_Assign[תפקיד],A12),0)</f>
        <v>0</v>
      </c>
      <c r="D12" s="34" t="n">
        <f aca="false">IFERROR(COUNTIFS(T_Assign[תאריך],לוח_שבועי_מחלקה!D6,T_Assign[משמרת],"בוקר",T_Assign[מחלקה],$B$3,T_Assign[תפקיד],A12),0)</f>
        <v>0</v>
      </c>
      <c r="E12" s="34" t="n">
        <f aca="false">IFERROR(COUNTIFS(T_Assign[תאריך],לוח_שבועי_מחלקה!E6,T_Assign[משמרת],"בוקר",T_Assign[מחלקה],$B$3,T_Assign[תפקיד],A12),0)</f>
        <v>0</v>
      </c>
      <c r="F12" s="34" t="n">
        <f aca="false">IFERROR(COUNTIFS(T_Assign[תאריך],לוח_שבועי_מחלקה!F6,T_Assign[משמרת],"בוקר",T_Assign[מחלקה],$B$3,T_Assign[תפקיד],A12),0)</f>
        <v>0</v>
      </c>
      <c r="G12" s="34" t="n">
        <f aca="false">IFERROR(COUNTIFS(T_Assign[תאריך],לוח_שבועי_מחלקה!G6,T_Assign[משמרת],"בוקר",T_Assign[מחלקה],$B$3,T_Assign[תפקיד],A12),0)</f>
        <v>0</v>
      </c>
      <c r="H12" s="34" t="n">
        <f aca="false">IFERROR(COUNTIFS(T_Assign[תאריך],לוח_שבועי_מחלקה!H6,T_Assign[משמרת],"בוקר",T_Assign[מחלקה],$B$3,T_Assign[תפקיד],A12),0)</f>
        <v>0</v>
      </c>
      <c r="I12" s="65" t="n">
        <f aca="false">IFERROR(SUM(B12:H12),0)</f>
        <v>0</v>
      </c>
      <c r="J12" s="85" t="n">
        <f aca="false">IFERROR(SUMPRODUCT((T_Standards[מחלקה]=$B$3)*(T_Standards[תפקיד]=A12)*(T_Standards[משמרת]="בוקר")*T_Standards[תקן])*7,0)</f>
        <v>0</v>
      </c>
      <c r="K12" s="86" t="n">
        <f aca="false">IFERROR(J12-I12,0)</f>
        <v>0</v>
      </c>
    </row>
    <row r="13" customFormat="false" ht="19.5" hidden="false" customHeight="true" outlineLevel="0" collapsed="false">
      <c r="A13" s="84" t="n">
        <f aca="false">IFERROR(INDEX(T_Roles[תפקידים],6),"")</f>
        <v>0</v>
      </c>
      <c r="B13" s="64" t="n">
        <f aca="false">IFERROR(COUNTIFS(T_Assign[תאריך],לוח_שבועי_מחלקה!B6,T_Assign[משמרת],"בוקר",T_Assign[מחלקה],$B$3,T_Assign[תפקיד],A13),0)</f>
        <v>0</v>
      </c>
      <c r="C13" s="64" t="n">
        <f aca="false">IFERROR(COUNTIFS(T_Assign[תאריך],לוח_שבועי_מחלקה!C6,T_Assign[משמרת],"בוקר",T_Assign[מחלקה],$B$3,T_Assign[תפקיד],A13),0)</f>
        <v>0</v>
      </c>
      <c r="D13" s="64" t="n">
        <f aca="false">IFERROR(COUNTIFS(T_Assign[תאריך],לוח_שבועי_מחלקה!D6,T_Assign[משמרת],"בוקר",T_Assign[מחלקה],$B$3,T_Assign[תפקיד],A13),0)</f>
        <v>0</v>
      </c>
      <c r="E13" s="64" t="n">
        <f aca="false">IFERROR(COUNTIFS(T_Assign[תאריך],לוח_שבועי_מחלקה!E6,T_Assign[משמרת],"בוקר",T_Assign[מחלקה],$B$3,T_Assign[תפקיד],A13),0)</f>
        <v>0</v>
      </c>
      <c r="F13" s="64" t="n">
        <f aca="false">IFERROR(COUNTIFS(T_Assign[תאריך],לוח_שבועי_מחלקה!F6,T_Assign[משמרת],"בוקר",T_Assign[מחלקה],$B$3,T_Assign[תפקיד],A13),0)</f>
        <v>0</v>
      </c>
      <c r="G13" s="64" t="n">
        <f aca="false">IFERROR(COUNTIFS(T_Assign[תאריך],לוח_שבועי_מחלקה!G6,T_Assign[משמרת],"בוקר",T_Assign[מחלקה],$B$3,T_Assign[תפקיד],A13),0)</f>
        <v>0</v>
      </c>
      <c r="H13" s="64" t="n">
        <f aca="false">IFERROR(COUNTIFS(T_Assign[תאריך],לוח_שבועי_מחלקה!H6,T_Assign[משמרת],"בוקר",T_Assign[מחלקה],$B$3,T_Assign[תפקיד],A13),0)</f>
        <v>0</v>
      </c>
      <c r="I13" s="65" t="n">
        <f aca="false">IFERROR(SUM(B13:H13),0)</f>
        <v>0</v>
      </c>
      <c r="J13" s="85" t="n">
        <f aca="false">IFERROR(SUMPRODUCT((T_Standards[מחלקה]=$B$3)*(T_Standards[תפקיד]=A13)*(T_Standards[משמרת]="בוקר")*T_Standards[תקן])*7,0)</f>
        <v>0</v>
      </c>
      <c r="K13" s="86" t="n">
        <f aca="false">IFERROR(J13-I13,0)</f>
        <v>0</v>
      </c>
    </row>
    <row r="14" customFormat="false" ht="19.5" hidden="false" customHeight="true" outlineLevel="0" collapsed="false">
      <c r="A14" s="84" t="n">
        <f aca="false">IFERROR(INDEX(T_Roles[תפקידים],7),"")</f>
        <v>0</v>
      </c>
      <c r="B14" s="34" t="n">
        <f aca="false">IFERROR(COUNTIFS(T_Assign[תאריך],לוח_שבועי_מחלקה!B6,T_Assign[משמרת],"בוקר",T_Assign[מחלקה],$B$3,T_Assign[תפקיד],A14),0)</f>
        <v>0</v>
      </c>
      <c r="C14" s="34" t="n">
        <f aca="false">IFERROR(COUNTIFS(T_Assign[תאריך],לוח_שבועי_מחלקה!C6,T_Assign[משמרת],"בוקר",T_Assign[מחלקה],$B$3,T_Assign[תפקיד],A14),0)</f>
        <v>0</v>
      </c>
      <c r="D14" s="34" t="n">
        <f aca="false">IFERROR(COUNTIFS(T_Assign[תאריך],לוח_שבועי_מחלקה!D6,T_Assign[משמרת],"בוקר",T_Assign[מחלקה],$B$3,T_Assign[תפקיד],A14),0)</f>
        <v>0</v>
      </c>
      <c r="E14" s="34" t="n">
        <f aca="false">IFERROR(COUNTIFS(T_Assign[תאריך],לוח_שבועי_מחלקה!E6,T_Assign[משמרת],"בוקר",T_Assign[מחלקה],$B$3,T_Assign[תפקיד],A14),0)</f>
        <v>0</v>
      </c>
      <c r="F14" s="34" t="n">
        <f aca="false">IFERROR(COUNTIFS(T_Assign[תאריך],לוח_שבועי_מחלקה!F6,T_Assign[משמרת],"בוקר",T_Assign[מחלקה],$B$3,T_Assign[תפקיד],A14),0)</f>
        <v>0</v>
      </c>
      <c r="G14" s="34" t="n">
        <f aca="false">IFERROR(COUNTIFS(T_Assign[תאריך],לוח_שבועי_מחלקה!G6,T_Assign[משמרת],"בוקר",T_Assign[מחלקה],$B$3,T_Assign[תפקיד],A14),0)</f>
        <v>0</v>
      </c>
      <c r="H14" s="34" t="n">
        <f aca="false">IFERROR(COUNTIFS(T_Assign[תאריך],לוח_שבועי_מחלקה!H6,T_Assign[משמרת],"בוקר",T_Assign[מחלקה],$B$3,T_Assign[תפקיד],A14),0)</f>
        <v>0</v>
      </c>
      <c r="I14" s="65" t="n">
        <f aca="false">IFERROR(SUM(B14:H14),0)</f>
        <v>0</v>
      </c>
      <c r="J14" s="85" t="n">
        <f aca="false">IFERROR(SUMPRODUCT((T_Standards[מחלקה]=$B$3)*(T_Standards[תפקיד]=A14)*(T_Standards[משמרת]="בוקר")*T_Standards[תקן])*7,0)</f>
        <v>0</v>
      </c>
      <c r="K14" s="86" t="n">
        <f aca="false">IFERROR(J14-I14,0)</f>
        <v>0</v>
      </c>
    </row>
    <row r="15" customFormat="false" ht="19.5" hidden="false" customHeight="true" outlineLevel="0" collapsed="false">
      <c r="A15" s="84" t="n">
        <f aca="false">IFERROR(INDEX(T_Roles[תפקידים],8),"")</f>
        <v>0</v>
      </c>
      <c r="B15" s="64" t="n">
        <f aca="false">IFERROR(COUNTIFS(T_Assign[תאריך],לוח_שבועי_מחלקה!B6,T_Assign[משמרת],"בוקר",T_Assign[מחלקה],$B$3,T_Assign[תפקיד],A15),0)</f>
        <v>0</v>
      </c>
      <c r="C15" s="64" t="n">
        <f aca="false">IFERROR(COUNTIFS(T_Assign[תאריך],לוח_שבועי_מחלקה!C6,T_Assign[משמרת],"בוקר",T_Assign[מחלקה],$B$3,T_Assign[תפקיד],A15),0)</f>
        <v>0</v>
      </c>
      <c r="D15" s="64" t="n">
        <f aca="false">IFERROR(COUNTIFS(T_Assign[תאריך],לוח_שבועי_מחלקה!D6,T_Assign[משמרת],"בוקר",T_Assign[מחלקה],$B$3,T_Assign[תפקיד],A15),0)</f>
        <v>0</v>
      </c>
      <c r="E15" s="64" t="n">
        <f aca="false">IFERROR(COUNTIFS(T_Assign[תאריך],לוח_שבועי_מחלקה!E6,T_Assign[משמרת],"בוקר",T_Assign[מחלקה],$B$3,T_Assign[תפקיד],A15),0)</f>
        <v>0</v>
      </c>
      <c r="F15" s="64" t="n">
        <f aca="false">IFERROR(COUNTIFS(T_Assign[תאריך],לוח_שבועי_מחלקה!F6,T_Assign[משמרת],"בוקר",T_Assign[מחלקה],$B$3,T_Assign[תפקיד],A15),0)</f>
        <v>0</v>
      </c>
      <c r="G15" s="64" t="n">
        <f aca="false">IFERROR(COUNTIFS(T_Assign[תאריך],לוח_שבועי_מחלקה!G6,T_Assign[משמרת],"בוקר",T_Assign[מחלקה],$B$3,T_Assign[תפקיד],A15),0)</f>
        <v>0</v>
      </c>
      <c r="H15" s="64" t="n">
        <f aca="false">IFERROR(COUNTIFS(T_Assign[תאריך],לוח_שבועי_מחלקה!H6,T_Assign[משמרת],"בוקר",T_Assign[מחלקה],$B$3,T_Assign[תפקיד],A15),0)</f>
        <v>0</v>
      </c>
      <c r="I15" s="65" t="n">
        <f aca="false">IFERROR(SUM(B15:H15),0)</f>
        <v>0</v>
      </c>
      <c r="J15" s="85" t="n">
        <f aca="false">IFERROR(SUMPRODUCT((T_Standards[מחלקה]=$B$3)*(T_Standards[תפקיד]=A15)*(T_Standards[משמרת]="בוקר")*T_Standards[תקן])*7,0)</f>
        <v>0</v>
      </c>
      <c r="K15" s="86" t="n">
        <f aca="false">IFERROR(J15-I15,0)</f>
        <v>0</v>
      </c>
    </row>
    <row r="16" customFormat="false" ht="15" hidden="false" customHeight="true" outlineLevel="0" collapsed="false">
      <c r="A16" s="29" t="s">
        <v>76</v>
      </c>
      <c r="B16" s="65" t="n">
        <f aca="false">IFERROR(SUM(B8:B15),0)</f>
        <v>0</v>
      </c>
      <c r="C16" s="65" t="n">
        <f aca="false">IFERROR(SUM(C8:C15),0)</f>
        <v>0</v>
      </c>
      <c r="D16" s="65" t="n">
        <f aca="false">IFERROR(SUM(D8:D15),0)</f>
        <v>0</v>
      </c>
      <c r="E16" s="65" t="n">
        <f aca="false">IFERROR(SUM(E8:E15),0)</f>
        <v>0</v>
      </c>
      <c r="F16" s="65" t="n">
        <f aca="false">IFERROR(SUM(F8:F15),0)</f>
        <v>0</v>
      </c>
      <c r="G16" s="65" t="n">
        <f aca="false">IFERROR(SUM(G8:G15),0)</f>
        <v>0</v>
      </c>
      <c r="H16" s="65" t="n">
        <f aca="false">IFERROR(SUM(H8:H15),0)</f>
        <v>0</v>
      </c>
      <c r="I16" s="65" t="n">
        <f aca="false">IFERROR(SUM(I8:I15),0)</f>
        <v>0</v>
      </c>
      <c r="J16" s="65" t="n">
        <f aca="false">IFERROR(SUM(J8:J15),0)</f>
        <v>0</v>
      </c>
      <c r="K16" s="65" t="n">
        <f aca="false">IFERROR(SUM(K8:K15),0)</f>
        <v>0</v>
      </c>
    </row>
    <row r="18" customFormat="false" ht="24" hidden="false" customHeight="true" outlineLevel="0" collapsed="false">
      <c r="A18" s="87" t="s">
        <v>77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</row>
    <row r="19" customFormat="false" ht="19.5" hidden="false" customHeight="true" outlineLevel="0" collapsed="false">
      <c r="A19" s="84" t="n">
        <f aca="false">IFERROR(INDEX(T_Roles[תפקידים],1),"")</f>
        <v>0</v>
      </c>
      <c r="B19" s="34" t="n">
        <f aca="false">IFERROR(COUNTIFS(T_Assign[תאריך],לוח_שבועי_מחלקה!B6,T_Assign[משמרת],"אמצע",T_Assign[מחלקה],$B$3,T_Assign[תפקיד],A19),0)</f>
        <v>0</v>
      </c>
      <c r="C19" s="34" t="n">
        <f aca="false">IFERROR(COUNTIFS(T_Assign[תאריך],לוח_שבועי_מחלקה!C6,T_Assign[משמרת],"אמצע",T_Assign[מחלקה],$B$3,T_Assign[תפקיד],A19),0)</f>
        <v>0</v>
      </c>
      <c r="D19" s="34" t="n">
        <f aca="false">IFERROR(COUNTIFS(T_Assign[תאריך],לוח_שבועי_מחלקה!D6,T_Assign[משמרת],"אמצע",T_Assign[מחלקה],$B$3,T_Assign[תפקיד],A19),0)</f>
        <v>0</v>
      </c>
      <c r="E19" s="34" t="n">
        <f aca="false">IFERROR(COUNTIFS(T_Assign[תאריך],לוח_שבועי_מחלקה!E6,T_Assign[משמרת],"אמצע",T_Assign[מחלקה],$B$3,T_Assign[תפקיד],A19),0)</f>
        <v>0</v>
      </c>
      <c r="F19" s="34" t="n">
        <f aca="false">IFERROR(COUNTIFS(T_Assign[תאריך],לוח_שבועי_מחלקה!F6,T_Assign[משמרת],"אמצע",T_Assign[מחלקה],$B$3,T_Assign[תפקיד],A19),0)</f>
        <v>0</v>
      </c>
      <c r="G19" s="34" t="n">
        <f aca="false">IFERROR(COUNTIFS(T_Assign[תאריך],לוח_שבועי_מחלקה!G6,T_Assign[משמרת],"אמצע",T_Assign[מחלקה],$B$3,T_Assign[תפקיד],A19),0)</f>
        <v>0</v>
      </c>
      <c r="H19" s="34" t="n">
        <f aca="false">IFERROR(COUNTIFS(T_Assign[תאריך],לוח_שבועי_מחלקה!H6,T_Assign[משמרת],"אמצע",T_Assign[מחלקה],$B$3,T_Assign[תפקיד],A19),0)</f>
        <v>0</v>
      </c>
      <c r="I19" s="88" t="n">
        <f aca="false">IFERROR(SUM(B19:H19),0)</f>
        <v>0</v>
      </c>
      <c r="J19" s="89" t="n">
        <f aca="false">IFERROR(SUMPRODUCT((T_Standards[מחלקה]=$B$3)*(T_Standards[תפקיד]=A19)*(T_Standards[משמרת]="אמצע")*T_Standards[תקן])*7,0)</f>
        <v>0</v>
      </c>
      <c r="K19" s="90" t="n">
        <f aca="false">IFERROR(J19-I19,0)</f>
        <v>0</v>
      </c>
    </row>
    <row r="20" customFormat="false" ht="19.5" hidden="false" customHeight="true" outlineLevel="0" collapsed="false">
      <c r="A20" s="84" t="n">
        <f aca="false">IFERROR(INDEX(T_Roles[תפקידים],2),"")</f>
        <v>0</v>
      </c>
      <c r="B20" s="64" t="n">
        <f aca="false">IFERROR(COUNTIFS(T_Assign[תאריך],לוח_שבועי_מחלקה!B6,T_Assign[משמרת],"אמצע",T_Assign[מחלקה],$B$3,T_Assign[תפקיד],A20),0)</f>
        <v>0</v>
      </c>
      <c r="C20" s="64" t="n">
        <f aca="false">IFERROR(COUNTIFS(T_Assign[תאריך],לוח_שבועי_מחלקה!C6,T_Assign[משמרת],"אמצע",T_Assign[מחלקה],$B$3,T_Assign[תפקיד],A20),0)</f>
        <v>0</v>
      </c>
      <c r="D20" s="64" t="n">
        <f aca="false">IFERROR(COUNTIFS(T_Assign[תאריך],לוח_שבועי_מחלקה!D6,T_Assign[משמרת],"אמצע",T_Assign[מחלקה],$B$3,T_Assign[תפקיד],A20),0)</f>
        <v>0</v>
      </c>
      <c r="E20" s="64" t="n">
        <f aca="false">IFERROR(COUNTIFS(T_Assign[תאריך],לוח_שבועי_מחלקה!E6,T_Assign[משמרת],"אמצע",T_Assign[מחלקה],$B$3,T_Assign[תפקיד],A20),0)</f>
        <v>0</v>
      </c>
      <c r="F20" s="64" t="n">
        <f aca="false">IFERROR(COUNTIFS(T_Assign[תאריך],לוח_שבועי_מחלקה!F6,T_Assign[משמרת],"אמצע",T_Assign[מחלקה],$B$3,T_Assign[תפקיד],A20),0)</f>
        <v>0</v>
      </c>
      <c r="G20" s="64" t="n">
        <f aca="false">IFERROR(COUNTIFS(T_Assign[תאריך],לוח_שבועי_מחלקה!G6,T_Assign[משמרת],"אמצע",T_Assign[מחלקה],$B$3,T_Assign[תפקיד],A20),0)</f>
        <v>0</v>
      </c>
      <c r="H20" s="64" t="n">
        <f aca="false">IFERROR(COUNTIFS(T_Assign[תאריך],לוח_שבועי_מחלקה!H6,T_Assign[משמרת],"אמצע",T_Assign[מחלקה],$B$3,T_Assign[תפקיד],A20),0)</f>
        <v>0</v>
      </c>
      <c r="I20" s="88" t="n">
        <f aca="false">IFERROR(SUM(B20:H20),0)</f>
        <v>0</v>
      </c>
      <c r="J20" s="89" t="n">
        <f aca="false">IFERROR(SUMPRODUCT((T_Standards[מחלקה]=$B$3)*(T_Standards[תפקיד]=A20)*(T_Standards[משמרת]="אמצע")*T_Standards[תקן])*7,0)</f>
        <v>0</v>
      </c>
      <c r="K20" s="90" t="n">
        <f aca="false">IFERROR(J20-I20,0)</f>
        <v>0</v>
      </c>
    </row>
    <row r="21" customFormat="false" ht="19.5" hidden="false" customHeight="true" outlineLevel="0" collapsed="false">
      <c r="A21" s="84" t="n">
        <f aca="false">IFERROR(INDEX(T_Roles[תפקידים],3),"")</f>
        <v>0</v>
      </c>
      <c r="B21" s="34" t="n">
        <f aca="false">IFERROR(COUNTIFS(T_Assign[תאריך],לוח_שבועי_מחלקה!B6,T_Assign[משמרת],"אמצע",T_Assign[מחלקה],$B$3,T_Assign[תפקיד],A21),0)</f>
        <v>0</v>
      </c>
      <c r="C21" s="34" t="n">
        <f aca="false">IFERROR(COUNTIFS(T_Assign[תאריך],לוח_שבועי_מחלקה!C6,T_Assign[משמרת],"אמצע",T_Assign[מחלקה],$B$3,T_Assign[תפקיד],A21),0)</f>
        <v>0</v>
      </c>
      <c r="D21" s="34" t="n">
        <f aca="false">IFERROR(COUNTIFS(T_Assign[תאריך],לוח_שבועי_מחלקה!D6,T_Assign[משמרת],"אמצע",T_Assign[מחלקה],$B$3,T_Assign[תפקיד],A21),0)</f>
        <v>0</v>
      </c>
      <c r="E21" s="34" t="n">
        <f aca="false">IFERROR(COUNTIFS(T_Assign[תאריך],לוח_שבועי_מחלקה!E6,T_Assign[משמרת],"אמצע",T_Assign[מחלקה],$B$3,T_Assign[תפקיד],A21),0)</f>
        <v>0</v>
      </c>
      <c r="F21" s="34" t="n">
        <f aca="false">IFERROR(COUNTIFS(T_Assign[תאריך],לוח_שבועי_מחלקה!F6,T_Assign[משמרת],"אמצע",T_Assign[מחלקה],$B$3,T_Assign[תפקיד],A21),0)</f>
        <v>0</v>
      </c>
      <c r="G21" s="34" t="n">
        <f aca="false">IFERROR(COUNTIFS(T_Assign[תאריך],לוח_שבועי_מחלקה!G6,T_Assign[משמרת],"אמצע",T_Assign[מחלקה],$B$3,T_Assign[תפקיד],A21),0)</f>
        <v>0</v>
      </c>
      <c r="H21" s="34" t="n">
        <f aca="false">IFERROR(COUNTIFS(T_Assign[תאריך],לוח_שבועי_מחלקה!H6,T_Assign[משמרת],"אמצע",T_Assign[מחלקה],$B$3,T_Assign[תפקיד],A21),0)</f>
        <v>0</v>
      </c>
      <c r="I21" s="88" t="n">
        <f aca="false">IFERROR(SUM(B21:H21),0)</f>
        <v>0</v>
      </c>
      <c r="J21" s="89" t="n">
        <f aca="false">IFERROR(SUMPRODUCT((T_Standards[מחלקה]=$B$3)*(T_Standards[תפקיד]=A21)*(T_Standards[משמרת]="אמצע")*T_Standards[תקן])*7,0)</f>
        <v>0</v>
      </c>
      <c r="K21" s="90" t="n">
        <f aca="false">IFERROR(J21-I21,0)</f>
        <v>0</v>
      </c>
    </row>
    <row r="22" customFormat="false" ht="19.5" hidden="false" customHeight="true" outlineLevel="0" collapsed="false">
      <c r="A22" s="84" t="n">
        <f aca="false">IFERROR(INDEX(T_Roles[תפקידים],4),"")</f>
        <v>0</v>
      </c>
      <c r="B22" s="64" t="n">
        <f aca="false">IFERROR(COUNTIFS(T_Assign[תאריך],לוח_שבועי_מחלקה!B6,T_Assign[משמרת],"אמצע",T_Assign[מחלקה],$B$3,T_Assign[תפקיד],A22),0)</f>
        <v>0</v>
      </c>
      <c r="C22" s="64" t="n">
        <f aca="false">IFERROR(COUNTIFS(T_Assign[תאריך],לוח_שבועי_מחלקה!C6,T_Assign[משמרת],"אמצע",T_Assign[מחלקה],$B$3,T_Assign[תפקיד],A22),0)</f>
        <v>0</v>
      </c>
      <c r="D22" s="64" t="n">
        <f aca="false">IFERROR(COUNTIFS(T_Assign[תאריך],לוח_שבועי_מחלקה!D6,T_Assign[משמרת],"אמצע",T_Assign[מחלקה],$B$3,T_Assign[תפקיד],A22),0)</f>
        <v>0</v>
      </c>
      <c r="E22" s="64" t="n">
        <f aca="false">IFERROR(COUNTIFS(T_Assign[תאריך],לוח_שבועי_מחלקה!E6,T_Assign[משמרת],"אמצע",T_Assign[מחלקה],$B$3,T_Assign[תפקיד],A22),0)</f>
        <v>0</v>
      </c>
      <c r="F22" s="64" t="n">
        <f aca="false">IFERROR(COUNTIFS(T_Assign[תאריך],לוח_שבועי_מחלקה!F6,T_Assign[משמרת],"אמצע",T_Assign[מחלקה],$B$3,T_Assign[תפקיד],A22),0)</f>
        <v>0</v>
      </c>
      <c r="G22" s="64" t="n">
        <f aca="false">IFERROR(COUNTIFS(T_Assign[תאריך],לוח_שבועי_מחלקה!G6,T_Assign[משמרת],"אמצע",T_Assign[מחלקה],$B$3,T_Assign[תפקיד],A22),0)</f>
        <v>0</v>
      </c>
      <c r="H22" s="64" t="n">
        <f aca="false">IFERROR(COUNTIFS(T_Assign[תאריך],לוח_שבועי_מחלקה!H6,T_Assign[משמרת],"אמצע",T_Assign[מחלקה],$B$3,T_Assign[תפקיד],A22),0)</f>
        <v>0</v>
      </c>
      <c r="I22" s="88" t="n">
        <f aca="false">IFERROR(SUM(B22:H22),0)</f>
        <v>0</v>
      </c>
      <c r="J22" s="89" t="n">
        <f aca="false">IFERROR(SUMPRODUCT((T_Standards[מחלקה]=$B$3)*(T_Standards[תפקיד]=A22)*(T_Standards[משמרת]="אמצע")*T_Standards[תקן])*7,0)</f>
        <v>0</v>
      </c>
      <c r="K22" s="90" t="n">
        <f aca="false">IFERROR(J22-I22,0)</f>
        <v>0</v>
      </c>
    </row>
    <row r="23" customFormat="false" ht="19.5" hidden="false" customHeight="true" outlineLevel="0" collapsed="false">
      <c r="A23" s="84" t="n">
        <f aca="false">IFERROR(INDEX(T_Roles[תפקידים],5),"")</f>
        <v>0</v>
      </c>
      <c r="B23" s="34" t="n">
        <f aca="false">IFERROR(COUNTIFS(T_Assign[תאריך],לוח_שבועי_מחלקה!B6,T_Assign[משמרת],"אמצע",T_Assign[מחלקה],$B$3,T_Assign[תפקיד],A23),0)</f>
        <v>0</v>
      </c>
      <c r="C23" s="34" t="n">
        <f aca="false">IFERROR(COUNTIFS(T_Assign[תאריך],לוח_שבועי_מחלקה!C6,T_Assign[משמרת],"אמצע",T_Assign[מחלקה],$B$3,T_Assign[תפקיד],A23),0)</f>
        <v>0</v>
      </c>
      <c r="D23" s="34" t="n">
        <f aca="false">IFERROR(COUNTIFS(T_Assign[תאריך],לוח_שבועי_מחלקה!D6,T_Assign[משמרת],"אמצע",T_Assign[מחלקה],$B$3,T_Assign[תפקיד],A23),0)</f>
        <v>0</v>
      </c>
      <c r="E23" s="34" t="n">
        <f aca="false">IFERROR(COUNTIFS(T_Assign[תאריך],לוח_שבועי_מחלקה!E6,T_Assign[משמרת],"אמצע",T_Assign[מחלקה],$B$3,T_Assign[תפקיד],A23),0)</f>
        <v>0</v>
      </c>
      <c r="F23" s="34" t="n">
        <f aca="false">IFERROR(COUNTIFS(T_Assign[תאריך],לוח_שבועי_מחלקה!F6,T_Assign[משמרת],"אמצע",T_Assign[מחלקה],$B$3,T_Assign[תפקיד],A23),0)</f>
        <v>0</v>
      </c>
      <c r="G23" s="34" t="n">
        <f aca="false">IFERROR(COUNTIFS(T_Assign[תאריך],לוח_שבועי_מחלקה!G6,T_Assign[משמרת],"אמצע",T_Assign[מחלקה],$B$3,T_Assign[תפקיד],A23),0)</f>
        <v>0</v>
      </c>
      <c r="H23" s="34" t="n">
        <f aca="false">IFERROR(COUNTIFS(T_Assign[תאריך],לוח_שבועי_מחלקה!H6,T_Assign[משמרת],"אמצע",T_Assign[מחלקה],$B$3,T_Assign[תפקיד],A23),0)</f>
        <v>0</v>
      </c>
      <c r="I23" s="88" t="n">
        <f aca="false">IFERROR(SUM(B23:H23),0)</f>
        <v>0</v>
      </c>
      <c r="J23" s="89" t="n">
        <f aca="false">IFERROR(SUMPRODUCT((T_Standards[מחלקה]=$B$3)*(T_Standards[תפקיד]=A23)*(T_Standards[משמרת]="אמצע")*T_Standards[תקן])*7,0)</f>
        <v>0</v>
      </c>
      <c r="K23" s="90" t="n">
        <f aca="false">IFERROR(J23-I23,0)</f>
        <v>0</v>
      </c>
    </row>
    <row r="24" customFormat="false" ht="19.5" hidden="false" customHeight="true" outlineLevel="0" collapsed="false">
      <c r="A24" s="84" t="n">
        <f aca="false">IFERROR(INDEX(T_Roles[תפקידים],6),"")</f>
        <v>0</v>
      </c>
      <c r="B24" s="64" t="n">
        <f aca="false">IFERROR(COUNTIFS(T_Assign[תאריך],לוח_שבועי_מחלקה!B6,T_Assign[משמרת],"אמצע",T_Assign[מחלקה],$B$3,T_Assign[תפקיד],A24),0)</f>
        <v>0</v>
      </c>
      <c r="C24" s="64" t="n">
        <f aca="false">IFERROR(COUNTIFS(T_Assign[תאריך],לוח_שבועי_מחלקה!C6,T_Assign[משמרת],"אמצע",T_Assign[מחלקה],$B$3,T_Assign[תפקיד],A24),0)</f>
        <v>0</v>
      </c>
      <c r="D24" s="64" t="n">
        <f aca="false">IFERROR(COUNTIFS(T_Assign[תאריך],לוח_שבועי_מחלקה!D6,T_Assign[משמרת],"אמצע",T_Assign[מחלקה],$B$3,T_Assign[תפקיד],A24),0)</f>
        <v>0</v>
      </c>
      <c r="E24" s="64" t="n">
        <f aca="false">IFERROR(COUNTIFS(T_Assign[תאריך],לוח_שבועי_מחלקה!E6,T_Assign[משמרת],"אמצע",T_Assign[מחלקה],$B$3,T_Assign[תפקיד],A24),0)</f>
        <v>0</v>
      </c>
      <c r="F24" s="64" t="n">
        <f aca="false">IFERROR(COUNTIFS(T_Assign[תאריך],לוח_שבועי_מחלקה!F6,T_Assign[משמרת],"אמצע",T_Assign[מחלקה],$B$3,T_Assign[תפקיד],A24),0)</f>
        <v>0</v>
      </c>
      <c r="G24" s="64" t="n">
        <f aca="false">IFERROR(COUNTIFS(T_Assign[תאריך],לוח_שבועי_מחלקה!G6,T_Assign[משמרת],"אמצע",T_Assign[מחלקה],$B$3,T_Assign[תפקיד],A24),0)</f>
        <v>0</v>
      </c>
      <c r="H24" s="64" t="n">
        <f aca="false">IFERROR(COUNTIFS(T_Assign[תאריך],לוח_שבועי_מחלקה!H6,T_Assign[משמרת],"אמצע",T_Assign[מחלקה],$B$3,T_Assign[תפקיד],A24),0)</f>
        <v>0</v>
      </c>
      <c r="I24" s="88" t="n">
        <f aca="false">IFERROR(SUM(B24:H24),0)</f>
        <v>0</v>
      </c>
      <c r="J24" s="89" t="n">
        <f aca="false">IFERROR(SUMPRODUCT((T_Standards[מחלקה]=$B$3)*(T_Standards[תפקיד]=A24)*(T_Standards[משמרת]="אמצע")*T_Standards[תקן])*7,0)</f>
        <v>0</v>
      </c>
      <c r="K24" s="90" t="n">
        <f aca="false">IFERROR(J24-I24,0)</f>
        <v>0</v>
      </c>
    </row>
    <row r="25" customFormat="false" ht="19.5" hidden="false" customHeight="true" outlineLevel="0" collapsed="false">
      <c r="A25" s="84" t="n">
        <f aca="false">IFERROR(INDEX(T_Roles[תפקידים],7),"")</f>
        <v>0</v>
      </c>
      <c r="B25" s="34" t="n">
        <f aca="false">IFERROR(COUNTIFS(T_Assign[תאריך],לוח_שבועי_מחלקה!B6,T_Assign[משמרת],"אמצע",T_Assign[מחלקה],$B$3,T_Assign[תפקיד],A25),0)</f>
        <v>0</v>
      </c>
      <c r="C25" s="34" t="n">
        <f aca="false">IFERROR(COUNTIFS(T_Assign[תאריך],לוח_שבועי_מחלקה!C6,T_Assign[משמרת],"אמצע",T_Assign[מחלקה],$B$3,T_Assign[תפקיד],A25),0)</f>
        <v>0</v>
      </c>
      <c r="D25" s="34" t="n">
        <f aca="false">IFERROR(COUNTIFS(T_Assign[תאריך],לוח_שבועי_מחלקה!D6,T_Assign[משמרת],"אמצע",T_Assign[מחלקה],$B$3,T_Assign[תפקיד],A25),0)</f>
        <v>0</v>
      </c>
      <c r="E25" s="34" t="n">
        <f aca="false">IFERROR(COUNTIFS(T_Assign[תאריך],לוח_שבועי_מחלקה!E6,T_Assign[משמרת],"אמצע",T_Assign[מחלקה],$B$3,T_Assign[תפקיד],A25),0)</f>
        <v>0</v>
      </c>
      <c r="F25" s="34" t="n">
        <f aca="false">IFERROR(COUNTIFS(T_Assign[תאריך],לוח_שבועי_מחלקה!F6,T_Assign[משמרת],"אמצע",T_Assign[מחלקה],$B$3,T_Assign[תפקיד],A25),0)</f>
        <v>0</v>
      </c>
      <c r="G25" s="34" t="n">
        <f aca="false">IFERROR(COUNTIFS(T_Assign[תאריך],לוח_שבועי_מחלקה!G6,T_Assign[משמרת],"אמצע",T_Assign[מחלקה],$B$3,T_Assign[תפקיד],A25),0)</f>
        <v>0</v>
      </c>
      <c r="H25" s="34" t="n">
        <f aca="false">IFERROR(COUNTIFS(T_Assign[תאריך],לוח_שבועי_מחלקה!H6,T_Assign[משמרת],"אמצע",T_Assign[מחלקה],$B$3,T_Assign[תפקיד],A25),0)</f>
        <v>0</v>
      </c>
      <c r="I25" s="88" t="n">
        <f aca="false">IFERROR(SUM(B25:H25),0)</f>
        <v>0</v>
      </c>
      <c r="J25" s="89" t="n">
        <f aca="false">IFERROR(SUMPRODUCT((T_Standards[מחלקה]=$B$3)*(T_Standards[תפקיד]=A25)*(T_Standards[משמרת]="אמצע")*T_Standards[תקן])*7,0)</f>
        <v>0</v>
      </c>
      <c r="K25" s="90" t="n">
        <f aca="false">IFERROR(J25-I25,0)</f>
        <v>0</v>
      </c>
    </row>
    <row r="26" customFormat="false" ht="19.5" hidden="false" customHeight="true" outlineLevel="0" collapsed="false">
      <c r="A26" s="84" t="n">
        <f aca="false">IFERROR(INDEX(T_Roles[תפקידים],8),"")</f>
        <v>0</v>
      </c>
      <c r="B26" s="64" t="n">
        <f aca="false">IFERROR(COUNTIFS(T_Assign[תאריך],לוח_שבועי_מחלקה!B6,T_Assign[משמרת],"אמצע",T_Assign[מחלקה],$B$3,T_Assign[תפקיד],A26),0)</f>
        <v>0</v>
      </c>
      <c r="C26" s="64" t="n">
        <f aca="false">IFERROR(COUNTIFS(T_Assign[תאריך],לוח_שבועי_מחלקה!C6,T_Assign[משמרת],"אמצע",T_Assign[מחלקה],$B$3,T_Assign[תפקיד],A26),0)</f>
        <v>0</v>
      </c>
      <c r="D26" s="64" t="n">
        <f aca="false">IFERROR(COUNTIFS(T_Assign[תאריך],לוח_שבועי_מחלקה!D6,T_Assign[משמרת],"אמצע",T_Assign[מחלקה],$B$3,T_Assign[תפקיד],A26),0)</f>
        <v>0</v>
      </c>
      <c r="E26" s="64" t="n">
        <f aca="false">IFERROR(COUNTIFS(T_Assign[תאריך],לוח_שבועי_מחלקה!E6,T_Assign[משמרת],"אמצע",T_Assign[מחלקה],$B$3,T_Assign[תפקיד],A26),0)</f>
        <v>0</v>
      </c>
      <c r="F26" s="64" t="n">
        <f aca="false">IFERROR(COUNTIFS(T_Assign[תאריך],לוח_שבועי_מחלקה!F6,T_Assign[משמרת],"אמצע",T_Assign[מחלקה],$B$3,T_Assign[תפקיד],A26),0)</f>
        <v>0</v>
      </c>
      <c r="G26" s="64" t="n">
        <f aca="false">IFERROR(COUNTIFS(T_Assign[תאריך],לוח_שבועי_מחלקה!G6,T_Assign[משמרת],"אמצע",T_Assign[מחלקה],$B$3,T_Assign[תפקיד],A26),0)</f>
        <v>0</v>
      </c>
      <c r="H26" s="64" t="n">
        <f aca="false">IFERROR(COUNTIFS(T_Assign[תאריך],לוח_שבועי_מחלקה!H6,T_Assign[משמרת],"אמצע",T_Assign[מחלקה],$B$3,T_Assign[תפקיד],A26),0)</f>
        <v>0</v>
      </c>
      <c r="I26" s="88" t="n">
        <f aca="false">IFERROR(SUM(B26:H26),0)</f>
        <v>0</v>
      </c>
      <c r="J26" s="89" t="n">
        <f aca="false">IFERROR(SUMPRODUCT((T_Standards[מחלקה]=$B$3)*(T_Standards[תפקיד]=A26)*(T_Standards[משמרת]="אמצע")*T_Standards[תקן])*7,0)</f>
        <v>0</v>
      </c>
      <c r="K26" s="90" t="n">
        <f aca="false">IFERROR(J26-I26,0)</f>
        <v>0</v>
      </c>
    </row>
    <row r="27" customFormat="false" ht="15" hidden="false" customHeight="true" outlineLevel="0" collapsed="false">
      <c r="A27" s="31" t="s">
        <v>78</v>
      </c>
      <c r="B27" s="88" t="n">
        <f aca="false">IFERROR(SUM(B19:B26),0)</f>
        <v>0</v>
      </c>
      <c r="C27" s="88" t="n">
        <f aca="false">IFERROR(SUM(C19:C26),0)</f>
        <v>0</v>
      </c>
      <c r="D27" s="88" t="n">
        <f aca="false">IFERROR(SUM(D19:D26),0)</f>
        <v>0</v>
      </c>
      <c r="E27" s="88" t="n">
        <f aca="false">IFERROR(SUM(E19:E26),0)</f>
        <v>0</v>
      </c>
      <c r="F27" s="88" t="n">
        <f aca="false">IFERROR(SUM(F19:F26),0)</f>
        <v>0</v>
      </c>
      <c r="G27" s="88" t="n">
        <f aca="false">IFERROR(SUM(G19:G26),0)</f>
        <v>0</v>
      </c>
      <c r="H27" s="88" t="n">
        <f aca="false">IFERROR(SUM(H19:H26),0)</f>
        <v>0</v>
      </c>
      <c r="I27" s="88" t="n">
        <f aca="false">IFERROR(SUM(I19:I26),0)</f>
        <v>0</v>
      </c>
      <c r="J27" s="88" t="n">
        <f aca="false">IFERROR(SUM(J19:J26),0)</f>
        <v>0</v>
      </c>
      <c r="K27" s="88" t="n">
        <f aca="false">IFERROR(SUM(K19:K26),0)</f>
        <v>0</v>
      </c>
    </row>
    <row r="29" customFormat="false" ht="24" hidden="false" customHeight="true" outlineLevel="0" collapsed="false">
      <c r="A29" s="91" t="s">
        <v>79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customFormat="false" ht="19.5" hidden="false" customHeight="true" outlineLevel="0" collapsed="false">
      <c r="A30" s="84" t="n">
        <f aca="false">IFERROR(INDEX(T_Roles[תפקידים],1),"")</f>
        <v>0</v>
      </c>
      <c r="B30" s="34" t="n">
        <f aca="false">IFERROR(COUNTIFS(T_Assign[תאריך],לוח_שבועי_מחלקה!B6,T_Assign[משמרת],"ערב",T_Assign[מחלקה],$B$3,T_Assign[תפקיד],A30),0)</f>
        <v>0</v>
      </c>
      <c r="C30" s="34" t="n">
        <f aca="false">IFERROR(COUNTIFS(T_Assign[תאריך],לוח_שבועי_מחלקה!C6,T_Assign[משמרת],"ערב",T_Assign[מחלקה],$B$3,T_Assign[תפקיד],A30),0)</f>
        <v>0</v>
      </c>
      <c r="D30" s="34" t="n">
        <f aca="false">IFERROR(COUNTIFS(T_Assign[תאריך],לוח_שבועי_מחלקה!D6,T_Assign[משמרת],"ערב",T_Assign[מחלקה],$B$3,T_Assign[תפקיד],A30),0)</f>
        <v>0</v>
      </c>
      <c r="E30" s="34" t="n">
        <f aca="false">IFERROR(COUNTIFS(T_Assign[תאריך],לוח_שבועי_מחלקה!E6,T_Assign[משמרת],"ערב",T_Assign[מחלקה],$B$3,T_Assign[תפקיד],A30),0)</f>
        <v>0</v>
      </c>
      <c r="F30" s="34" t="n">
        <f aca="false">IFERROR(COUNTIFS(T_Assign[תאריך],לוח_שבועי_מחלקה!F6,T_Assign[משמרת],"ערב",T_Assign[מחלקה],$B$3,T_Assign[תפקיד],A30),0)</f>
        <v>0</v>
      </c>
      <c r="G30" s="34" t="n">
        <f aca="false">IFERROR(COUNTIFS(T_Assign[תאריך],לוח_שבועי_מחלקה!G6,T_Assign[משמרת],"ערב",T_Assign[מחלקה],$B$3,T_Assign[תפקיד],A30),0)</f>
        <v>0</v>
      </c>
      <c r="H30" s="34" t="n">
        <f aca="false">IFERROR(COUNTIFS(T_Assign[תאריך],לוח_שבועי_מחלקה!H6,T_Assign[משמרת],"ערב",T_Assign[מחלקה],$B$3,T_Assign[תפקיד],A30),0)</f>
        <v>0</v>
      </c>
      <c r="I30" s="92" t="n">
        <f aca="false">IFERROR(SUM(B30:H30),0)</f>
        <v>0</v>
      </c>
      <c r="J30" s="93" t="n">
        <f aca="false">IFERROR(SUMPRODUCT((T_Standards[מחלקה]=$B$3)*(T_Standards[תפקיד]=A30)*(T_Standards[משמרת]="ערב")*T_Standards[תקן])*7,0)</f>
        <v>0</v>
      </c>
      <c r="K30" s="94" t="n">
        <f aca="false">IFERROR(J30-I30,0)</f>
        <v>0</v>
      </c>
    </row>
    <row r="31" customFormat="false" ht="19.5" hidden="false" customHeight="true" outlineLevel="0" collapsed="false">
      <c r="A31" s="84" t="n">
        <f aca="false">IFERROR(INDEX(T_Roles[תפקידים],2),"")</f>
        <v>0</v>
      </c>
      <c r="B31" s="64" t="n">
        <f aca="false">IFERROR(COUNTIFS(T_Assign[תאריך],לוח_שבועי_מחלקה!B6,T_Assign[משמרת],"ערב",T_Assign[מחלקה],$B$3,T_Assign[תפקיד],A31),0)</f>
        <v>0</v>
      </c>
      <c r="C31" s="64" t="n">
        <f aca="false">IFERROR(COUNTIFS(T_Assign[תאריך],לוח_שבועי_מחלקה!C6,T_Assign[משמרת],"ערב",T_Assign[מחלקה],$B$3,T_Assign[תפקיד],A31),0)</f>
        <v>0</v>
      </c>
      <c r="D31" s="64" t="n">
        <f aca="false">IFERROR(COUNTIFS(T_Assign[תאריך],לוח_שבועי_מחלקה!D6,T_Assign[משמרת],"ערב",T_Assign[מחלקה],$B$3,T_Assign[תפקיד],A31),0)</f>
        <v>0</v>
      </c>
      <c r="E31" s="64" t="n">
        <f aca="false">IFERROR(COUNTIFS(T_Assign[תאריך],לוח_שבועי_מחלקה!E6,T_Assign[משמרת],"ערב",T_Assign[מחלקה],$B$3,T_Assign[תפקיד],A31),0)</f>
        <v>0</v>
      </c>
      <c r="F31" s="64" t="n">
        <f aca="false">IFERROR(COUNTIFS(T_Assign[תאריך],לוח_שבועי_מחלקה!F6,T_Assign[משמרת],"ערב",T_Assign[מחלקה],$B$3,T_Assign[תפקיד],A31),0)</f>
        <v>0</v>
      </c>
      <c r="G31" s="64" t="n">
        <f aca="false">IFERROR(COUNTIFS(T_Assign[תאריך],לוח_שבועי_מחלקה!G6,T_Assign[משמרת],"ערב",T_Assign[מחלקה],$B$3,T_Assign[תפקיד],A31),0)</f>
        <v>0</v>
      </c>
      <c r="H31" s="64" t="n">
        <f aca="false">IFERROR(COUNTIFS(T_Assign[תאריך],לוח_שבועי_מחלקה!H6,T_Assign[משמרת],"ערב",T_Assign[מחלקה],$B$3,T_Assign[תפקיד],A31),0)</f>
        <v>0</v>
      </c>
      <c r="I31" s="92" t="n">
        <f aca="false">IFERROR(SUM(B31:H31),0)</f>
        <v>0</v>
      </c>
      <c r="J31" s="93" t="n">
        <f aca="false">IFERROR(SUMPRODUCT((T_Standards[מחלקה]=$B$3)*(T_Standards[תפקיד]=A31)*(T_Standards[משמרת]="ערב")*T_Standards[תקן])*7,0)</f>
        <v>0</v>
      </c>
      <c r="K31" s="94" t="n">
        <f aca="false">IFERROR(J31-I31,0)</f>
        <v>0</v>
      </c>
    </row>
    <row r="32" customFormat="false" ht="19.5" hidden="false" customHeight="true" outlineLevel="0" collapsed="false">
      <c r="A32" s="84" t="n">
        <f aca="false">IFERROR(INDEX(T_Roles[תפקידים],3),"")</f>
        <v>0</v>
      </c>
      <c r="B32" s="34" t="n">
        <f aca="false">IFERROR(COUNTIFS(T_Assign[תאריך],לוח_שבועי_מחלקה!B6,T_Assign[משמרת],"ערב",T_Assign[מחלקה],$B$3,T_Assign[תפקיד],A32),0)</f>
        <v>0</v>
      </c>
      <c r="C32" s="34" t="n">
        <f aca="false">IFERROR(COUNTIFS(T_Assign[תאריך],לוח_שבועי_מחלקה!C6,T_Assign[משמרת],"ערב",T_Assign[מחלקה],$B$3,T_Assign[תפקיד],A32),0)</f>
        <v>0</v>
      </c>
      <c r="D32" s="34" t="n">
        <f aca="false">IFERROR(COUNTIFS(T_Assign[תאריך],לוח_שבועי_מחלקה!D6,T_Assign[משמרת],"ערב",T_Assign[מחלקה],$B$3,T_Assign[תפקיד],A32),0)</f>
        <v>0</v>
      </c>
      <c r="E32" s="34" t="n">
        <f aca="false">IFERROR(COUNTIFS(T_Assign[תאריך],לוח_שבועי_מחלקה!E6,T_Assign[משמרת],"ערב",T_Assign[מחלקה],$B$3,T_Assign[תפקיד],A32),0)</f>
        <v>0</v>
      </c>
      <c r="F32" s="34" t="n">
        <f aca="false">IFERROR(COUNTIFS(T_Assign[תאריך],לוח_שבועי_מחלקה!F6,T_Assign[משמרת],"ערב",T_Assign[מחלקה],$B$3,T_Assign[תפקיד],A32),0)</f>
        <v>0</v>
      </c>
      <c r="G32" s="34" t="n">
        <f aca="false">IFERROR(COUNTIFS(T_Assign[תאריך],לוח_שבועי_מחלקה!G6,T_Assign[משמרת],"ערב",T_Assign[מחלקה],$B$3,T_Assign[תפקיד],A32),0)</f>
        <v>0</v>
      </c>
      <c r="H32" s="34" t="n">
        <f aca="false">IFERROR(COUNTIFS(T_Assign[תאריך],לוח_שבועי_מחלקה!H6,T_Assign[משמרת],"ערב",T_Assign[מחלקה],$B$3,T_Assign[תפקיד],A32),0)</f>
        <v>0</v>
      </c>
      <c r="I32" s="92" t="n">
        <f aca="false">IFERROR(SUM(B32:H32),0)</f>
        <v>0</v>
      </c>
      <c r="J32" s="93" t="n">
        <f aca="false">IFERROR(SUMPRODUCT((T_Standards[מחלקה]=$B$3)*(T_Standards[תפקיד]=A32)*(T_Standards[משמרת]="ערב")*T_Standards[תקן])*7,0)</f>
        <v>0</v>
      </c>
      <c r="K32" s="94" t="n">
        <f aca="false">IFERROR(J32-I32,0)</f>
        <v>0</v>
      </c>
    </row>
    <row r="33" customFormat="false" ht="19.5" hidden="false" customHeight="true" outlineLevel="0" collapsed="false">
      <c r="A33" s="84" t="n">
        <f aca="false">IFERROR(INDEX(T_Roles[תפקידים],4),"")</f>
        <v>0</v>
      </c>
      <c r="B33" s="64" t="n">
        <f aca="false">IFERROR(COUNTIFS(T_Assign[תאריך],לוח_שבועי_מחלקה!B6,T_Assign[משמרת],"ערב",T_Assign[מחלקה],$B$3,T_Assign[תפקיד],A33),0)</f>
        <v>0</v>
      </c>
      <c r="C33" s="64" t="n">
        <f aca="false">IFERROR(COUNTIFS(T_Assign[תאריך],לוח_שבועי_מחלקה!C6,T_Assign[משמרת],"ערב",T_Assign[מחלקה],$B$3,T_Assign[תפקיד],A33),0)</f>
        <v>0</v>
      </c>
      <c r="D33" s="64" t="n">
        <f aca="false">IFERROR(COUNTIFS(T_Assign[תאריך],לוח_שבועי_מחלקה!D6,T_Assign[משמרת],"ערב",T_Assign[מחלקה],$B$3,T_Assign[תפקיד],A33),0)</f>
        <v>0</v>
      </c>
      <c r="E33" s="64" t="n">
        <f aca="false">IFERROR(COUNTIFS(T_Assign[תאריך],לוח_שבועי_מחלקה!E6,T_Assign[משמרת],"ערב",T_Assign[מחלקה],$B$3,T_Assign[תפקיד],A33),0)</f>
        <v>0</v>
      </c>
      <c r="F33" s="64" t="n">
        <f aca="false">IFERROR(COUNTIFS(T_Assign[תאריך],לוח_שבועי_מחלקה!F6,T_Assign[משמרת],"ערב",T_Assign[מחלקה],$B$3,T_Assign[תפקיד],A33),0)</f>
        <v>0</v>
      </c>
      <c r="G33" s="64" t="n">
        <f aca="false">IFERROR(COUNTIFS(T_Assign[תאריך],לוח_שבועי_מחלקה!G6,T_Assign[משמרת],"ערב",T_Assign[מחלקה],$B$3,T_Assign[תפקיד],A33),0)</f>
        <v>0</v>
      </c>
      <c r="H33" s="64" t="n">
        <f aca="false">IFERROR(COUNTIFS(T_Assign[תאריך],לוח_שבועי_מחלקה!H6,T_Assign[משמרת],"ערב",T_Assign[מחלקה],$B$3,T_Assign[תפקיד],A33),0)</f>
        <v>0</v>
      </c>
      <c r="I33" s="92" t="n">
        <f aca="false">IFERROR(SUM(B33:H33),0)</f>
        <v>0</v>
      </c>
      <c r="J33" s="93" t="n">
        <f aca="false">IFERROR(SUMPRODUCT((T_Standards[מחלקה]=$B$3)*(T_Standards[תפקיד]=A33)*(T_Standards[משמרת]="ערב")*T_Standards[תקן])*7,0)</f>
        <v>0</v>
      </c>
      <c r="K33" s="94" t="n">
        <f aca="false">IFERROR(J33-I33,0)</f>
        <v>0</v>
      </c>
    </row>
    <row r="34" customFormat="false" ht="19.5" hidden="false" customHeight="true" outlineLevel="0" collapsed="false">
      <c r="A34" s="84" t="n">
        <f aca="false">IFERROR(INDEX(T_Roles[תפקידים],5),"")</f>
        <v>0</v>
      </c>
      <c r="B34" s="34" t="n">
        <f aca="false">IFERROR(COUNTIFS(T_Assign[תאריך],לוח_שבועי_מחלקה!B6,T_Assign[משמרת],"ערב",T_Assign[מחלקה],$B$3,T_Assign[תפקיד],A34),0)</f>
        <v>0</v>
      </c>
      <c r="C34" s="34" t="n">
        <f aca="false">IFERROR(COUNTIFS(T_Assign[תאריך],לוח_שבועי_מחלקה!C6,T_Assign[משמרת],"ערב",T_Assign[מחלקה],$B$3,T_Assign[תפקיד],A34),0)</f>
        <v>0</v>
      </c>
      <c r="D34" s="34" t="n">
        <f aca="false">IFERROR(COUNTIFS(T_Assign[תאריך],לוח_שבועי_מחלקה!D6,T_Assign[משמרת],"ערב",T_Assign[מחלקה],$B$3,T_Assign[תפקיד],A34),0)</f>
        <v>0</v>
      </c>
      <c r="E34" s="34" t="n">
        <f aca="false">IFERROR(COUNTIFS(T_Assign[תאריך],לוח_שבועי_מחלקה!E6,T_Assign[משמרת],"ערב",T_Assign[מחלקה],$B$3,T_Assign[תפקיד],A34),0)</f>
        <v>0</v>
      </c>
      <c r="F34" s="34" t="n">
        <f aca="false">IFERROR(COUNTIFS(T_Assign[תאריך],לוח_שבועי_מחלקה!F6,T_Assign[משמרת],"ערב",T_Assign[מחלקה],$B$3,T_Assign[תפקיד],A34),0)</f>
        <v>0</v>
      </c>
      <c r="G34" s="34" t="n">
        <f aca="false">IFERROR(COUNTIFS(T_Assign[תאריך],לוח_שבועי_מחלקה!G6,T_Assign[משמרת],"ערב",T_Assign[מחלקה],$B$3,T_Assign[תפקיד],A34),0)</f>
        <v>0</v>
      </c>
      <c r="H34" s="34" t="n">
        <f aca="false">IFERROR(COUNTIFS(T_Assign[תאריך],לוח_שבועי_מחלקה!H6,T_Assign[משמרת],"ערב",T_Assign[מחלקה],$B$3,T_Assign[תפקיד],A34),0)</f>
        <v>0</v>
      </c>
      <c r="I34" s="92" t="n">
        <f aca="false">IFERROR(SUM(B34:H34),0)</f>
        <v>0</v>
      </c>
      <c r="J34" s="93" t="n">
        <f aca="false">IFERROR(SUMPRODUCT((T_Standards[מחלקה]=$B$3)*(T_Standards[תפקיד]=A34)*(T_Standards[משמרת]="ערב")*T_Standards[תקן])*7,0)</f>
        <v>0</v>
      </c>
      <c r="K34" s="94" t="n">
        <f aca="false">IFERROR(J34-I34,0)</f>
        <v>0</v>
      </c>
    </row>
    <row r="35" customFormat="false" ht="19.5" hidden="false" customHeight="true" outlineLevel="0" collapsed="false">
      <c r="A35" s="84" t="n">
        <f aca="false">IFERROR(INDEX(T_Roles[תפקידים],6),"")</f>
        <v>0</v>
      </c>
      <c r="B35" s="64" t="n">
        <f aca="false">IFERROR(COUNTIFS(T_Assign[תאריך],לוח_שבועי_מחלקה!B6,T_Assign[משמרת],"ערב",T_Assign[מחלקה],$B$3,T_Assign[תפקיד],A35),0)</f>
        <v>0</v>
      </c>
      <c r="C35" s="64" t="n">
        <f aca="false">IFERROR(COUNTIFS(T_Assign[תאריך],לוח_שבועי_מחלקה!C6,T_Assign[משמרת],"ערב",T_Assign[מחלקה],$B$3,T_Assign[תפקיד],A35),0)</f>
        <v>0</v>
      </c>
      <c r="D35" s="64" t="n">
        <f aca="false">IFERROR(COUNTIFS(T_Assign[תאריך],לוח_שבועי_מחלקה!D6,T_Assign[משמרת],"ערב",T_Assign[מחלקה],$B$3,T_Assign[תפקיד],A35),0)</f>
        <v>0</v>
      </c>
      <c r="E35" s="64" t="n">
        <f aca="false">IFERROR(COUNTIFS(T_Assign[תאריך],לוח_שבועי_מחלקה!E6,T_Assign[משמרת],"ערב",T_Assign[מחלקה],$B$3,T_Assign[תפקיד],A35),0)</f>
        <v>0</v>
      </c>
      <c r="F35" s="64" t="n">
        <f aca="false">IFERROR(COUNTIFS(T_Assign[תאריך],לוח_שבועי_מחלקה!F6,T_Assign[משמרת],"ערב",T_Assign[מחלקה],$B$3,T_Assign[תפקיד],A35),0)</f>
        <v>0</v>
      </c>
      <c r="G35" s="64" t="n">
        <f aca="false">IFERROR(COUNTIFS(T_Assign[תאריך],לוח_שבועי_מחלקה!G6,T_Assign[משמרת],"ערב",T_Assign[מחלקה],$B$3,T_Assign[תפקיד],A35),0)</f>
        <v>0</v>
      </c>
      <c r="H35" s="64" t="n">
        <f aca="false">IFERROR(COUNTIFS(T_Assign[תאריך],לוח_שבועי_מחלקה!H6,T_Assign[משמרת],"ערב",T_Assign[מחלקה],$B$3,T_Assign[תפקיד],A35),0)</f>
        <v>0</v>
      </c>
      <c r="I35" s="92" t="n">
        <f aca="false">IFERROR(SUM(B35:H35),0)</f>
        <v>0</v>
      </c>
      <c r="J35" s="93" t="n">
        <f aca="false">IFERROR(SUMPRODUCT((T_Standards[מחלקה]=$B$3)*(T_Standards[תפקיד]=A35)*(T_Standards[משמרת]="ערב")*T_Standards[תקן])*7,0)</f>
        <v>0</v>
      </c>
      <c r="K35" s="94" t="n">
        <f aca="false">IFERROR(J35-I35,0)</f>
        <v>0</v>
      </c>
    </row>
    <row r="36" customFormat="false" ht="19.5" hidden="false" customHeight="true" outlineLevel="0" collapsed="false">
      <c r="A36" s="84" t="n">
        <f aca="false">IFERROR(INDEX(T_Roles[תפקידים],7),"")</f>
        <v>0</v>
      </c>
      <c r="B36" s="34" t="n">
        <f aca="false">IFERROR(COUNTIFS(T_Assign[תאריך],לוח_שבועי_מחלקה!B6,T_Assign[משמרת],"ערב",T_Assign[מחלקה],$B$3,T_Assign[תפקיד],A36),0)</f>
        <v>0</v>
      </c>
      <c r="C36" s="34" t="n">
        <f aca="false">IFERROR(COUNTIFS(T_Assign[תאריך],לוח_שבועי_מחלקה!C6,T_Assign[משמרת],"ערב",T_Assign[מחלקה],$B$3,T_Assign[תפקיד],A36),0)</f>
        <v>0</v>
      </c>
      <c r="D36" s="34" t="n">
        <f aca="false">IFERROR(COUNTIFS(T_Assign[תאריך],לוח_שבועי_מחלקה!D6,T_Assign[משמרת],"ערב",T_Assign[מחלקה],$B$3,T_Assign[תפקיד],A36),0)</f>
        <v>0</v>
      </c>
      <c r="E36" s="34" t="n">
        <f aca="false">IFERROR(COUNTIFS(T_Assign[תאריך],לוח_שבועי_מחלקה!E6,T_Assign[משמרת],"ערב",T_Assign[מחלקה],$B$3,T_Assign[תפקיד],A36),0)</f>
        <v>0</v>
      </c>
      <c r="F36" s="34" t="n">
        <f aca="false">IFERROR(COUNTIFS(T_Assign[תאריך],לוח_שבועי_מחלקה!F6,T_Assign[משמרת],"ערב",T_Assign[מחלקה],$B$3,T_Assign[תפקיד],A36),0)</f>
        <v>0</v>
      </c>
      <c r="G36" s="34" t="n">
        <f aca="false">IFERROR(COUNTIFS(T_Assign[תאריך],לוח_שבועי_מחלקה!G6,T_Assign[משמרת],"ערב",T_Assign[מחלקה],$B$3,T_Assign[תפקיד],A36),0)</f>
        <v>0</v>
      </c>
      <c r="H36" s="34" t="n">
        <f aca="false">IFERROR(COUNTIFS(T_Assign[תאריך],לוח_שבועי_מחלקה!H6,T_Assign[משמרת],"ערב",T_Assign[מחלקה],$B$3,T_Assign[תפקיד],A36),0)</f>
        <v>0</v>
      </c>
      <c r="I36" s="92" t="n">
        <f aca="false">IFERROR(SUM(B36:H36),0)</f>
        <v>0</v>
      </c>
      <c r="J36" s="93" t="n">
        <f aca="false">IFERROR(SUMPRODUCT((T_Standards[מחלקה]=$B$3)*(T_Standards[תפקיד]=A36)*(T_Standards[משמרת]="ערב")*T_Standards[תקן])*7,0)</f>
        <v>0</v>
      </c>
      <c r="K36" s="94" t="n">
        <f aca="false">IFERROR(J36-I36,0)</f>
        <v>0</v>
      </c>
    </row>
    <row r="37" customFormat="false" ht="19.5" hidden="false" customHeight="true" outlineLevel="0" collapsed="false">
      <c r="A37" s="84" t="n">
        <f aca="false">IFERROR(INDEX(T_Roles[תפקידים],8),"")</f>
        <v>0</v>
      </c>
      <c r="B37" s="64" t="n">
        <f aca="false">IFERROR(COUNTIFS(T_Assign[תאריך],לוח_שבועי_מחלקה!B6,T_Assign[משמרת],"ערב",T_Assign[מחלקה],$B$3,T_Assign[תפקיד],A37),0)</f>
        <v>0</v>
      </c>
      <c r="C37" s="64" t="n">
        <f aca="false">IFERROR(COUNTIFS(T_Assign[תאריך],לוח_שבועי_מחלקה!C6,T_Assign[משמרת],"ערב",T_Assign[מחלקה],$B$3,T_Assign[תפקיד],A37),0)</f>
        <v>0</v>
      </c>
      <c r="D37" s="64" t="n">
        <f aca="false">IFERROR(COUNTIFS(T_Assign[תאריך],לוח_שבועי_מחלקה!D6,T_Assign[משמרת],"ערב",T_Assign[מחלקה],$B$3,T_Assign[תפקיד],A37),0)</f>
        <v>0</v>
      </c>
      <c r="E37" s="64" t="n">
        <f aca="false">IFERROR(COUNTIFS(T_Assign[תאריך],לוח_שבועי_מחלקה!E6,T_Assign[משמרת],"ערב",T_Assign[מחלקה],$B$3,T_Assign[תפקיד],A37),0)</f>
        <v>0</v>
      </c>
      <c r="F37" s="64" t="n">
        <f aca="false">IFERROR(COUNTIFS(T_Assign[תאריך],לוח_שבועי_מחלקה!F6,T_Assign[משמרת],"ערב",T_Assign[מחלקה],$B$3,T_Assign[תפקיד],A37),0)</f>
        <v>0</v>
      </c>
      <c r="G37" s="64" t="n">
        <f aca="false">IFERROR(COUNTIFS(T_Assign[תאריך],לוח_שבועי_מחלקה!G6,T_Assign[משמרת],"ערב",T_Assign[מחלקה],$B$3,T_Assign[תפקיד],A37),0)</f>
        <v>0</v>
      </c>
      <c r="H37" s="64" t="n">
        <f aca="false">IFERROR(COUNTIFS(T_Assign[תאריך],לוח_שבועי_מחלקה!H6,T_Assign[משמרת],"ערב",T_Assign[מחלקה],$B$3,T_Assign[תפקיד],A37),0)</f>
        <v>0</v>
      </c>
      <c r="I37" s="92" t="n">
        <f aca="false">IFERROR(SUM(B37:H37),0)</f>
        <v>0</v>
      </c>
      <c r="J37" s="93" t="n">
        <f aca="false">IFERROR(SUMPRODUCT((T_Standards[מחלקה]=$B$3)*(T_Standards[תפקיד]=A37)*(T_Standards[משמרת]="ערב")*T_Standards[תקן])*7,0)</f>
        <v>0</v>
      </c>
      <c r="K37" s="94" t="n">
        <f aca="false">IFERROR(J37-I37,0)</f>
        <v>0</v>
      </c>
    </row>
    <row r="38" customFormat="false" ht="15" hidden="false" customHeight="true" outlineLevel="0" collapsed="false">
      <c r="A38" s="80" t="s">
        <v>80</v>
      </c>
      <c r="B38" s="92" t="n">
        <f aca="false">IFERROR(SUM(B30:B37),0)</f>
        <v>0</v>
      </c>
      <c r="C38" s="92" t="n">
        <f aca="false">IFERROR(SUM(C30:C37),0)</f>
        <v>0</v>
      </c>
      <c r="D38" s="92" t="n">
        <f aca="false">IFERROR(SUM(D30:D37),0)</f>
        <v>0</v>
      </c>
      <c r="E38" s="92" t="n">
        <f aca="false">IFERROR(SUM(E30:E37),0)</f>
        <v>0</v>
      </c>
      <c r="F38" s="92" t="n">
        <f aca="false">IFERROR(SUM(F30:F37),0)</f>
        <v>0</v>
      </c>
      <c r="G38" s="92" t="n">
        <f aca="false">IFERROR(SUM(G30:G37),0)</f>
        <v>0</v>
      </c>
      <c r="H38" s="92" t="n">
        <f aca="false">IFERROR(SUM(H30:H37),0)</f>
        <v>0</v>
      </c>
      <c r="I38" s="92" t="n">
        <f aca="false">IFERROR(SUM(I30:I37),0)</f>
        <v>0</v>
      </c>
      <c r="J38" s="92" t="n">
        <f aca="false">IFERROR(SUM(J30:J37),0)</f>
        <v>0</v>
      </c>
      <c r="K38" s="92" t="n">
        <f aca="false">IFERROR(SUM(K30:K37),0)</f>
        <v>0</v>
      </c>
    </row>
  </sheetData>
  <mergeCells count="4">
    <mergeCell ref="A1:K1"/>
    <mergeCell ref="A7:K7"/>
    <mergeCell ref="A18:K18"/>
    <mergeCell ref="A29:K29"/>
  </mergeCells>
  <dataValidations count="1">
    <dataValidation allowBlank="false" error="בחר מהרשימה" errorStyle="stop" errorTitle="שגיאה" operator="between" showDropDown="false" showErrorMessage="true" showInputMessage="false" sqref="B3" type="list">
      <formula1>T_Depts[מחלקה]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9" t="s">
        <v>46</v>
      </c>
      <c r="B3" s="35" t="n">
        <f aca="false">הגדרות!$C$3</f>
        <v>46096</v>
      </c>
    </row>
    <row r="5" customFormat="false" ht="19.5" hidden="false" customHeight="true" outlineLevel="0" collapsed="false">
      <c r="A5" s="95" t="s">
        <v>34</v>
      </c>
      <c r="B5" s="29" t="s">
        <v>12</v>
      </c>
      <c r="C5" s="31" t="s">
        <v>14</v>
      </c>
      <c r="D5" s="80" t="s">
        <v>16</v>
      </c>
      <c r="E5" s="30" t="s">
        <v>82</v>
      </c>
      <c r="F5" s="6" t="s">
        <v>83</v>
      </c>
      <c r="G5" s="6" t="s">
        <v>49</v>
      </c>
      <c r="H5" s="6" t="s">
        <v>52</v>
      </c>
    </row>
    <row r="6" customFormat="false" ht="15" hidden="false" customHeight="true" outlineLevel="0" collapsed="false">
      <c r="A6" s="42" t="str">
        <f aca="false">IFERROR(INDEX(T_Depts[מחלקה],1),"")</f>
        <v/>
      </c>
      <c r="B6" s="96" t="n">
        <f aca="false">IFERROR(COUNTIFS(T_Assign[תאריך],$B$3,T_Assign[משמרת],"בוקר",T_Assign[מחלקה],$A6),0)</f>
        <v>0</v>
      </c>
      <c r="C6" s="96" t="n">
        <f aca="false">IFERROR(COUNTIFS(T_Assign[תאריך],$B$3,T_Assign[משמרת],"אמצע",T_Assign[מחלקה],$A6),0)</f>
        <v>0</v>
      </c>
      <c r="D6" s="96" t="n">
        <f aca="false">IFERROR(COUNTIFS(T_Assign[תאריך],$B$3,T_Assign[משמרת],"ערב",T_Assign[מחלקה],$A6),0)</f>
        <v>0</v>
      </c>
      <c r="E6" s="46" t="n">
        <f aca="false">IFERROR(SUM(B6:D6),0)</f>
        <v>0</v>
      </c>
      <c r="F6" s="97" t="n">
        <f aca="false">IFERROR(SUMPRODUCT((T_Standards[מחלקה]=$A6)*T_Standards[תקן]),0)</f>
        <v>0</v>
      </c>
      <c r="G6" s="11" t="n">
        <f aca="false">IFERROR(F6-E6,0)</f>
        <v>0</v>
      </c>
      <c r="H6" s="49" t="str">
        <f aca="false">IFERROR(IF($A6="","",IF(G6=0,"✓ מאויש",IF(G6&gt;0,"⚠ חוסר","↑ עודף"))),"")</f>
        <v/>
      </c>
    </row>
    <row r="7" customFormat="false" ht="15" hidden="false" customHeight="true" outlineLevel="0" collapsed="false">
      <c r="A7" s="42" t="str">
        <f aca="false">IFERROR(INDEX(T_Depts[מחלקה],2),"")</f>
        <v/>
      </c>
      <c r="B7" s="10" t="n">
        <f aca="false">IFERROR(COUNTIFS(T_Assign[תאריך],$B$3,T_Assign[משמרת],"בוקר",T_Assign[מחלקה],$A7),0)</f>
        <v>0</v>
      </c>
      <c r="C7" s="10" t="n">
        <f aca="false">IFERROR(COUNTIFS(T_Assign[תאריך],$B$3,T_Assign[משמרת],"אמצע",T_Assign[מחלקה],$A7),0)</f>
        <v>0</v>
      </c>
      <c r="D7" s="10" t="n">
        <f aca="false">IFERROR(COUNTIFS(T_Assign[תאריך],$B$3,T_Assign[משמרת],"ערב",T_Assign[מחלקה],$A7),0)</f>
        <v>0</v>
      </c>
      <c r="E7" s="46" t="n">
        <f aca="false">IFERROR(SUM(B7:D7),0)</f>
        <v>0</v>
      </c>
      <c r="F7" s="98" t="n">
        <f aca="false">IFERROR(SUMPRODUCT((T_Standards[מחלקה]=$A7)*T_Standards[תקן]),0)</f>
        <v>0</v>
      </c>
      <c r="G7" s="25" t="n">
        <f aca="false">IFERROR(F7-E7,0)</f>
        <v>0</v>
      </c>
      <c r="H7" s="52" t="str">
        <f aca="false">IFERROR(IF($A7="","",IF(G7=0,"✓ מאויש",IF(G7&gt;0,"⚠ חוסר","↑ עודף"))),"")</f>
        <v/>
      </c>
    </row>
    <row r="8" customFormat="false" ht="15" hidden="false" customHeight="true" outlineLevel="0" collapsed="false">
      <c r="A8" s="42" t="str">
        <f aca="false">IFERROR(INDEX(T_Depts[מחלקה],3),"")</f>
        <v/>
      </c>
      <c r="B8" s="96" t="n">
        <f aca="false">IFERROR(COUNTIFS(T_Assign[תאריך],$B$3,T_Assign[משמרת],"בוקר",T_Assign[מחלקה],$A8),0)</f>
        <v>0</v>
      </c>
      <c r="C8" s="96" t="n">
        <f aca="false">IFERROR(COUNTIFS(T_Assign[תאריך],$B$3,T_Assign[משמרת],"אמצע",T_Assign[מחלקה],$A8),0)</f>
        <v>0</v>
      </c>
      <c r="D8" s="96" t="n">
        <f aca="false">IFERROR(COUNTIFS(T_Assign[תאריך],$B$3,T_Assign[משמרת],"ערב",T_Assign[מחלקה],$A8),0)</f>
        <v>0</v>
      </c>
      <c r="E8" s="46" t="n">
        <f aca="false">IFERROR(SUM(B8:D8),0)</f>
        <v>0</v>
      </c>
      <c r="F8" s="97" t="n">
        <f aca="false">IFERROR(SUMPRODUCT((T_Standards[מחלקה]=$A8)*T_Standards[תקן]),0)</f>
        <v>0</v>
      </c>
      <c r="G8" s="11" t="n">
        <f aca="false">IFERROR(F8-E8,0)</f>
        <v>0</v>
      </c>
      <c r="H8" s="49" t="str">
        <f aca="false">IFERROR(IF($A8="","",IF(G8=0,"✓ מאויש",IF(G8&gt;0,"⚠ חוסר","↑ עודף"))),"")</f>
        <v/>
      </c>
    </row>
    <row r="9" customFormat="false" ht="15" hidden="false" customHeight="true" outlineLevel="0" collapsed="false">
      <c r="A9" s="42" t="str">
        <f aca="false">IFERROR(INDEX(T_Depts[מחלקה],4),"")</f>
        <v/>
      </c>
      <c r="B9" s="10" t="n">
        <f aca="false">IFERROR(COUNTIFS(T_Assign[תאריך],$B$3,T_Assign[משמרת],"בוקר",T_Assign[מחלקה],$A9),0)</f>
        <v>0</v>
      </c>
      <c r="C9" s="10" t="n">
        <f aca="false">IFERROR(COUNTIFS(T_Assign[תאריך],$B$3,T_Assign[משמרת],"אמצע",T_Assign[מחלקה],$A9),0)</f>
        <v>0</v>
      </c>
      <c r="D9" s="10" t="n">
        <f aca="false">IFERROR(COUNTIFS(T_Assign[תאריך],$B$3,T_Assign[משמרת],"ערב",T_Assign[מחלקה],$A9),0)</f>
        <v>0</v>
      </c>
      <c r="E9" s="46" t="n">
        <f aca="false">IFERROR(SUM(B9:D9),0)</f>
        <v>0</v>
      </c>
      <c r="F9" s="98" t="n">
        <f aca="false">IFERROR(SUMPRODUCT((T_Standards[מחלקה]=$A9)*T_Standards[תקן]),0)</f>
        <v>0</v>
      </c>
      <c r="G9" s="25" t="n">
        <f aca="false">IFERROR(F9-E9,0)</f>
        <v>0</v>
      </c>
      <c r="H9" s="52" t="str">
        <f aca="false">IFERROR(IF($A9="","",IF(G9=0,"✓ מאויש",IF(G9&gt;0,"⚠ חוסר","↑ עודף"))),"")</f>
        <v/>
      </c>
    </row>
    <row r="10" customFormat="false" ht="15" hidden="false" customHeight="true" outlineLevel="0" collapsed="false">
      <c r="A10" s="42" t="str">
        <f aca="false">IFERROR(INDEX(T_Depts[מחלקה],5),"")</f>
        <v/>
      </c>
      <c r="B10" s="96" t="n">
        <f aca="false">IFERROR(COUNTIFS(T_Assign[תאריך],$B$3,T_Assign[משמרת],"בוקר",T_Assign[מחלקה],$A10),0)</f>
        <v>0</v>
      </c>
      <c r="C10" s="96" t="n">
        <f aca="false">IFERROR(COUNTIFS(T_Assign[תאריך],$B$3,T_Assign[משמרת],"אמצע",T_Assign[מחלקה],$A10),0)</f>
        <v>0</v>
      </c>
      <c r="D10" s="96" t="n">
        <f aca="false">IFERROR(COUNTIFS(T_Assign[תאריך],$B$3,T_Assign[משמרת],"ערב",T_Assign[מחלקה],$A10),0)</f>
        <v>0</v>
      </c>
      <c r="E10" s="46" t="n">
        <f aca="false">IFERROR(SUM(B10:D10),0)</f>
        <v>0</v>
      </c>
      <c r="F10" s="97" t="n">
        <f aca="false">IFERROR(SUMPRODUCT((T_Standards[מחלקה]=$A10)*T_Standards[תקן]),0)</f>
        <v>0</v>
      </c>
      <c r="G10" s="11" t="n">
        <f aca="false">IFERROR(F10-E10,0)</f>
        <v>0</v>
      </c>
      <c r="H10" s="49" t="str">
        <f aca="false">IFERROR(IF($A10="","",IF(G10=0,"✓ מאויש",IF(G10&gt;0,"⚠ חוסר","↑ עודף"))),"")</f>
        <v/>
      </c>
    </row>
    <row r="11" customFormat="false" ht="15" hidden="false" customHeight="true" outlineLevel="0" collapsed="false">
      <c r="A11" s="42" t="str">
        <f aca="false">IFERROR(INDEX(T_Depts[מחלקה],6),"")</f>
        <v/>
      </c>
      <c r="B11" s="10" t="n">
        <f aca="false">IFERROR(COUNTIFS(T_Assign[תאריך],$B$3,T_Assign[משמרת],"בוקר",T_Assign[מחלקה],$A11),0)</f>
        <v>0</v>
      </c>
      <c r="C11" s="10" t="n">
        <f aca="false">IFERROR(COUNTIFS(T_Assign[תאריך],$B$3,T_Assign[משמרת],"אמצע",T_Assign[מחלקה],$A11),0)</f>
        <v>0</v>
      </c>
      <c r="D11" s="10" t="n">
        <f aca="false">IFERROR(COUNTIFS(T_Assign[תאריך],$B$3,T_Assign[משמרת],"ערב",T_Assign[מחלקה],$A11),0)</f>
        <v>0</v>
      </c>
      <c r="E11" s="46" t="n">
        <f aca="false">IFERROR(SUM(B11:D11),0)</f>
        <v>0</v>
      </c>
      <c r="F11" s="98" t="n">
        <f aca="false">IFERROR(SUMPRODUCT((T_Standards[מחלקה]=$A11)*T_Standards[תקן]),0)</f>
        <v>0</v>
      </c>
      <c r="G11" s="25" t="n">
        <f aca="false">IFERROR(F11-E11,0)</f>
        <v>0</v>
      </c>
      <c r="H11" s="52" t="str">
        <f aca="false">IFERROR(IF($A11="","",IF(G11=0,"✓ מאויש",IF(G11&gt;0,"⚠ חוסר","↑ עודף"))),"")</f>
        <v/>
      </c>
    </row>
    <row r="12" customFormat="false" ht="15" hidden="false" customHeight="true" outlineLevel="0" collapsed="false">
      <c r="A12" s="42" t="str">
        <f aca="false">IFERROR(INDEX(T_Depts[מחלקה],7),"")</f>
        <v/>
      </c>
      <c r="B12" s="96" t="n">
        <f aca="false">IFERROR(COUNTIFS(T_Assign[תאריך],$B$3,T_Assign[משמרת],"בוקר",T_Assign[מחלקה],$A12),0)</f>
        <v>0</v>
      </c>
      <c r="C12" s="96" t="n">
        <f aca="false">IFERROR(COUNTIFS(T_Assign[תאריך],$B$3,T_Assign[משמרת],"אמצע",T_Assign[מחלקה],$A12),0)</f>
        <v>0</v>
      </c>
      <c r="D12" s="96" t="n">
        <f aca="false">IFERROR(COUNTIFS(T_Assign[תאריך],$B$3,T_Assign[משמרת],"ערב",T_Assign[מחלקה],$A12),0)</f>
        <v>0</v>
      </c>
      <c r="E12" s="46" t="n">
        <f aca="false">IFERROR(SUM(B12:D12),0)</f>
        <v>0</v>
      </c>
      <c r="F12" s="97" t="n">
        <f aca="false">IFERROR(SUMPRODUCT((T_Standards[מחלקה]=$A12)*T_Standards[תקן]),0)</f>
        <v>0</v>
      </c>
      <c r="G12" s="11" t="n">
        <f aca="false">IFERROR(F12-E12,0)</f>
        <v>0</v>
      </c>
      <c r="H12" s="49" t="str">
        <f aca="false">IFERROR(IF($A12="","",IF(G12=0,"✓ מאויש",IF(G12&gt;0,"⚠ חוסר","↑ עודף"))),"")</f>
        <v/>
      </c>
    </row>
    <row r="13" customFormat="false" ht="15" hidden="false" customHeight="true" outlineLevel="0" collapsed="false">
      <c r="A13" s="42" t="str">
        <f aca="false">IFERROR(INDEX(T_Depts[מחלקה],8),"")</f>
        <v/>
      </c>
      <c r="B13" s="10" t="n">
        <f aca="false">IFERROR(COUNTIFS(T_Assign[תאריך],$B$3,T_Assign[משמרת],"בוקר",T_Assign[מחלקה],$A13),0)</f>
        <v>0</v>
      </c>
      <c r="C13" s="10" t="n">
        <f aca="false">IFERROR(COUNTIFS(T_Assign[תאריך],$B$3,T_Assign[משמרת],"אמצע",T_Assign[מחלקה],$A13),0)</f>
        <v>0</v>
      </c>
      <c r="D13" s="10" t="n">
        <f aca="false">IFERROR(COUNTIFS(T_Assign[תאריך],$B$3,T_Assign[משמרת],"ערב",T_Assign[מחלקה],$A13),0)</f>
        <v>0</v>
      </c>
      <c r="E13" s="46" t="n">
        <f aca="false">IFERROR(SUM(B13:D13),0)</f>
        <v>0</v>
      </c>
      <c r="F13" s="98" t="n">
        <f aca="false">IFERROR(SUMPRODUCT((T_Standards[מחלקה]=$A13)*T_Standards[תקן]),0)</f>
        <v>0</v>
      </c>
      <c r="G13" s="25" t="n">
        <f aca="false">IFERROR(F13-E13,0)</f>
        <v>0</v>
      </c>
      <c r="H13" s="52" t="str">
        <f aca="false">IFERROR(IF($A13="","",IF(G13=0,"✓ מאויש",IF(G13&gt;0,"⚠ חוסר","↑ עודף"))),"")</f>
        <v/>
      </c>
    </row>
    <row r="14" customFormat="false" ht="15" hidden="false" customHeight="true" outlineLevel="0" collapsed="false">
      <c r="A14" s="42" t="str">
        <f aca="false">IFERROR(INDEX(T_Depts[מחלקה],9),"")</f>
        <v/>
      </c>
      <c r="B14" s="96" t="n">
        <f aca="false">IFERROR(COUNTIFS(T_Assign[תאריך],$B$3,T_Assign[משמרת],"בוקר",T_Assign[מחלקה],$A14),0)</f>
        <v>0</v>
      </c>
      <c r="C14" s="96" t="n">
        <f aca="false">IFERROR(COUNTIFS(T_Assign[תאריך],$B$3,T_Assign[משמרת],"אמצע",T_Assign[מחלקה],$A14),0)</f>
        <v>0</v>
      </c>
      <c r="D14" s="96" t="n">
        <f aca="false">IFERROR(COUNTIFS(T_Assign[תאריך],$B$3,T_Assign[משמרת],"ערב",T_Assign[מחלקה],$A14),0)</f>
        <v>0</v>
      </c>
      <c r="E14" s="46" t="n">
        <f aca="false">IFERROR(SUM(B14:D14),0)</f>
        <v>0</v>
      </c>
      <c r="F14" s="97" t="n">
        <f aca="false">IFERROR(SUMPRODUCT((T_Standards[מחלקה]=$A14)*T_Standards[תקן]),0)</f>
        <v>0</v>
      </c>
      <c r="G14" s="11" t="n">
        <f aca="false">IFERROR(F14-E14,0)</f>
        <v>0</v>
      </c>
      <c r="H14" s="49" t="str">
        <f aca="false">IFERROR(IF($A14="","",IF(G14=0,"✓ מאויש",IF(G14&gt;0,"⚠ חוסר","↑ עודף"))),"")</f>
        <v/>
      </c>
    </row>
    <row r="15" customFormat="false" ht="15" hidden="false" customHeight="true" outlineLevel="0" collapsed="false">
      <c r="A15" s="42" t="str">
        <f aca="false">IFERROR(INDEX(T_Depts[מחלקה],10),"")</f>
        <v/>
      </c>
      <c r="B15" s="10" t="n">
        <f aca="false">IFERROR(COUNTIFS(T_Assign[תאריך],$B$3,T_Assign[משמרת],"בוקר",T_Assign[מחלקה],$A15),0)</f>
        <v>0</v>
      </c>
      <c r="C15" s="10" t="n">
        <f aca="false">IFERROR(COUNTIFS(T_Assign[תאריך],$B$3,T_Assign[משמרת],"אמצע",T_Assign[מחלקה],$A15),0)</f>
        <v>0</v>
      </c>
      <c r="D15" s="10" t="n">
        <f aca="false">IFERROR(COUNTIFS(T_Assign[תאריך],$B$3,T_Assign[משמרת],"ערב",T_Assign[מחלקה],$A15),0)</f>
        <v>0</v>
      </c>
      <c r="E15" s="46" t="n">
        <f aca="false">IFERROR(SUM(B15:D15),0)</f>
        <v>0</v>
      </c>
      <c r="F15" s="98" t="n">
        <f aca="false">IFERROR(SUMPRODUCT((T_Standards[מחלקה]=$A15)*T_Standards[תקן]),0)</f>
        <v>0</v>
      </c>
      <c r="G15" s="25" t="n">
        <f aca="false">IFERROR(F15-E15,0)</f>
        <v>0</v>
      </c>
      <c r="H15" s="52" t="str">
        <f aca="false">IFERROR(IF($A15="","",IF(G15=0,"✓ מאויש",IF(G15&gt;0,"⚠ חוסר","↑ עודף"))),"")</f>
        <v/>
      </c>
    </row>
    <row r="16" customFormat="false" ht="15" hidden="false" customHeight="true" outlineLevel="0" collapsed="false">
      <c r="A16" s="42" t="str">
        <f aca="false">IFERROR(INDEX(T_Depts[מחלקה],11),"")</f>
        <v/>
      </c>
      <c r="B16" s="96" t="n">
        <f aca="false">IFERROR(COUNTIFS(T_Assign[תאריך],$B$3,T_Assign[משמרת],"בוקר",T_Assign[מחלקה],$A16),0)</f>
        <v>0</v>
      </c>
      <c r="C16" s="96" t="n">
        <f aca="false">IFERROR(COUNTIFS(T_Assign[תאריך],$B$3,T_Assign[משמרת],"אמצע",T_Assign[מחלקה],$A16),0)</f>
        <v>0</v>
      </c>
      <c r="D16" s="96" t="n">
        <f aca="false">IFERROR(COUNTIFS(T_Assign[תאריך],$B$3,T_Assign[משמרת],"ערב",T_Assign[מחלקה],$A16),0)</f>
        <v>0</v>
      </c>
      <c r="E16" s="46" t="n">
        <f aca="false">IFERROR(SUM(B16:D16),0)</f>
        <v>0</v>
      </c>
      <c r="F16" s="97" t="n">
        <f aca="false">IFERROR(SUMPRODUCT((T_Standards[מחלקה]=$A16)*T_Standards[תקן]),0)</f>
        <v>0</v>
      </c>
      <c r="G16" s="11" t="n">
        <f aca="false">IFERROR(F16-E16,0)</f>
        <v>0</v>
      </c>
      <c r="H16" s="49" t="str">
        <f aca="false">IFERROR(IF($A16="","",IF(G16=0,"✓ מאויש",IF(G16&gt;0,"⚠ חוסר","↑ עודף"))),"")</f>
        <v/>
      </c>
    </row>
    <row r="17" customFormat="false" ht="15" hidden="false" customHeight="true" outlineLevel="0" collapsed="false">
      <c r="A17" s="42" t="str">
        <f aca="false">IFERROR(INDEX(T_Depts[מחלקה],12),"")</f>
        <v/>
      </c>
      <c r="B17" s="10" t="n">
        <f aca="false">IFERROR(COUNTIFS(T_Assign[תאריך],$B$3,T_Assign[משמרת],"בוקר",T_Assign[מחלקה],$A17),0)</f>
        <v>0</v>
      </c>
      <c r="C17" s="10" t="n">
        <f aca="false">IFERROR(COUNTIFS(T_Assign[תאריך],$B$3,T_Assign[משמרת],"אמצע",T_Assign[מחלקה],$A17),0)</f>
        <v>0</v>
      </c>
      <c r="D17" s="10" t="n">
        <f aca="false">IFERROR(COUNTIFS(T_Assign[תאריך],$B$3,T_Assign[משמרת],"ערב",T_Assign[מחלקה],$A17),0)</f>
        <v>0</v>
      </c>
      <c r="E17" s="46" t="n">
        <f aca="false">IFERROR(SUM(B17:D17),0)</f>
        <v>0</v>
      </c>
      <c r="F17" s="98" t="n">
        <f aca="false">IFERROR(SUMPRODUCT((T_Standards[מחלקה]=$A17)*T_Standards[תקן]),0)</f>
        <v>0</v>
      </c>
      <c r="G17" s="25" t="n">
        <f aca="false">IFERROR(F17-E17,0)</f>
        <v>0</v>
      </c>
      <c r="H17" s="52" t="str">
        <f aca="false">IFERROR(IF($A17="","",IF(G17=0,"✓ מאויש",IF(G17&gt;0,"⚠ חוסר","↑ עודף"))),"")</f>
        <v/>
      </c>
    </row>
    <row r="18" customFormat="false" ht="15" hidden="false" customHeight="true" outlineLevel="0" collapsed="false">
      <c r="A18" s="42" t="str">
        <f aca="false">IFERROR(INDEX(T_Depts[מחלקה],13),"")</f>
        <v/>
      </c>
      <c r="B18" s="96" t="n">
        <f aca="false">IFERROR(COUNTIFS(T_Assign[תאריך],$B$3,T_Assign[משמרת],"בוקר",T_Assign[מחלקה],$A18),0)</f>
        <v>0</v>
      </c>
      <c r="C18" s="96" t="n">
        <f aca="false">IFERROR(COUNTIFS(T_Assign[תאריך],$B$3,T_Assign[משמרת],"אמצע",T_Assign[מחלקה],$A18),0)</f>
        <v>0</v>
      </c>
      <c r="D18" s="96" t="n">
        <f aca="false">IFERROR(COUNTIFS(T_Assign[תאריך],$B$3,T_Assign[משמרת],"ערב",T_Assign[מחלקה],$A18),0)</f>
        <v>0</v>
      </c>
      <c r="E18" s="46" t="n">
        <f aca="false">IFERROR(SUM(B18:D18),0)</f>
        <v>0</v>
      </c>
      <c r="F18" s="97" t="n">
        <f aca="false">IFERROR(SUMPRODUCT((T_Standards[מחלקה]=$A18)*T_Standards[תקן]),0)</f>
        <v>0</v>
      </c>
      <c r="G18" s="11" t="n">
        <f aca="false">IFERROR(F18-E18,0)</f>
        <v>0</v>
      </c>
      <c r="H18" s="49" t="str">
        <f aca="false">IFERROR(IF($A18="","",IF(G18=0,"✓ מאויש",IF(G18&gt;0,"⚠ חוסר","↑ עודף"))),"")</f>
        <v/>
      </c>
    </row>
    <row r="19" customFormat="false" ht="15" hidden="false" customHeight="true" outlineLevel="0" collapsed="false">
      <c r="A19" s="42" t="str">
        <f aca="false">IFERROR(INDEX(T_Depts[מחלקה],14),"")</f>
        <v/>
      </c>
      <c r="B19" s="10" t="n">
        <f aca="false">IFERROR(COUNTIFS(T_Assign[תאריך],$B$3,T_Assign[משמרת],"בוקר",T_Assign[מחלקה],$A19),0)</f>
        <v>0</v>
      </c>
      <c r="C19" s="10" t="n">
        <f aca="false">IFERROR(COUNTIFS(T_Assign[תאריך],$B$3,T_Assign[משמרת],"אמצע",T_Assign[מחלקה],$A19),0)</f>
        <v>0</v>
      </c>
      <c r="D19" s="10" t="n">
        <f aca="false">IFERROR(COUNTIFS(T_Assign[תאריך],$B$3,T_Assign[משמרת],"ערב",T_Assign[מחלקה],$A19),0)</f>
        <v>0</v>
      </c>
      <c r="E19" s="46" t="n">
        <f aca="false">IFERROR(SUM(B19:D19),0)</f>
        <v>0</v>
      </c>
      <c r="F19" s="98" t="n">
        <f aca="false">IFERROR(SUMPRODUCT((T_Standards[מחלקה]=$A19)*T_Standards[תקן]),0)</f>
        <v>0</v>
      </c>
      <c r="G19" s="25" t="n">
        <f aca="false">IFERROR(F19-E19,0)</f>
        <v>0</v>
      </c>
      <c r="H19" s="52" t="str">
        <f aca="false">IFERROR(IF($A19="","",IF(G19=0,"✓ מאויש",IF(G19&gt;0,"⚠ חוסר","↑ עודף"))),"")</f>
        <v/>
      </c>
    </row>
    <row r="20" customFormat="false" ht="15" hidden="false" customHeight="true" outlineLevel="0" collapsed="false">
      <c r="A20" s="42" t="str">
        <f aca="false">IFERROR(INDEX(T_Depts[מחלקה],15),"")</f>
        <v/>
      </c>
      <c r="B20" s="96" t="n">
        <f aca="false">IFERROR(COUNTIFS(T_Assign[תאריך],$B$3,T_Assign[משמרת],"בוקר",T_Assign[מחלקה],$A20),0)</f>
        <v>0</v>
      </c>
      <c r="C20" s="96" t="n">
        <f aca="false">IFERROR(COUNTIFS(T_Assign[תאריך],$B$3,T_Assign[משמרת],"אמצע",T_Assign[מחלקה],$A20),0)</f>
        <v>0</v>
      </c>
      <c r="D20" s="96" t="n">
        <f aca="false">IFERROR(COUNTIFS(T_Assign[תאריך],$B$3,T_Assign[משמרת],"ערב",T_Assign[מחלקה],$A20),0)</f>
        <v>0</v>
      </c>
      <c r="E20" s="46" t="n">
        <f aca="false">IFERROR(SUM(B20:D20),0)</f>
        <v>0</v>
      </c>
      <c r="F20" s="97" t="n">
        <f aca="false">IFERROR(SUMPRODUCT((T_Standards[מחלקה]=$A20)*T_Standards[תקן]),0)</f>
        <v>0</v>
      </c>
      <c r="G20" s="11" t="n">
        <f aca="false">IFERROR(F20-E20,0)</f>
        <v>0</v>
      </c>
      <c r="H20" s="49" t="str">
        <f aca="false">IFERROR(IF($A20="","",IF(G20=0,"✓ מאויש",IF(G20&gt;0,"⚠ חוסר","↑ עודף"))),"")</f>
        <v/>
      </c>
    </row>
    <row r="21" customFormat="false" ht="15" hidden="false" customHeight="true" outlineLevel="0" collapsed="false">
      <c r="A21" s="19" t="s">
        <v>59</v>
      </c>
      <c r="B21" s="53" t="n">
        <f aca="false">IFERROR(SUM(B6:B20),0)</f>
        <v>0</v>
      </c>
      <c r="C21" s="53" t="n">
        <f aca="false">IFERROR(SUM(C6:C20),0)</f>
        <v>0</v>
      </c>
      <c r="D21" s="53" t="n">
        <f aca="false">IFERROR(SUM(D6:D20),0)</f>
        <v>0</v>
      </c>
      <c r="E21" s="53" t="n">
        <f aca="false">IFERROR(SUM(E6:E20),0)</f>
        <v>0</v>
      </c>
      <c r="F21" s="53" t="n">
        <f aca="false">IFERROR(SUM(F6:F20),0)</f>
        <v>0</v>
      </c>
      <c r="G21" s="53" t="n">
        <f aca="false">IFERROR(SUM(G6:G20),0)</f>
        <v>0</v>
      </c>
      <c r="H21" s="54"/>
    </row>
  </sheetData>
  <mergeCells count="1">
    <mergeCell ref="A1:I1"/>
  </mergeCells>
  <conditionalFormatting sqref="H6:H20">
    <cfRule type="expression" priority="2" aboveAverage="0" equalAverage="0" bottom="0" percent="0" rank="0" text="" dxfId="11">
      <formula>$H6="✓ מאויש"</formula>
    </cfRule>
    <cfRule type="expression" priority="3" aboveAverage="0" equalAverage="0" bottom="0" percent="0" rank="0" text="" dxfId="12">
      <formula>ISNUMBER(SEARCH("חוסר",$H6))</formula>
    </cfRule>
    <cfRule type="expression" priority="4" aboveAverage="0" equalAverage="0" bottom="0" percent="0" rank="0" text="" dxfId="13">
      <formula>ISNUMBER(SEARCH("עודף",$H6))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12" t="s">
        <v>61</v>
      </c>
      <c r="B3" s="55" t="n">
        <f aca="false">הגדרות!$C$3</f>
        <v>46096</v>
      </c>
      <c r="C3" s="30" t="s">
        <v>62</v>
      </c>
      <c r="D3" s="55" t="n">
        <f aca="false">הגדרות!$C$3+6</f>
        <v>46102</v>
      </c>
    </row>
    <row r="5" customFormat="false" ht="19.5" hidden="false" customHeight="true" outlineLevel="0" collapsed="false">
      <c r="A5" s="95" t="s">
        <v>34</v>
      </c>
      <c r="B5" s="29" t="s">
        <v>85</v>
      </c>
      <c r="C5" s="31" t="s">
        <v>86</v>
      </c>
      <c r="D5" s="80" t="s">
        <v>87</v>
      </c>
      <c r="E5" s="30" t="s">
        <v>88</v>
      </c>
      <c r="F5" s="6" t="s">
        <v>89</v>
      </c>
      <c r="G5" s="6" t="s">
        <v>49</v>
      </c>
      <c r="H5" s="99" t="s">
        <v>90</v>
      </c>
      <c r="I5" s="6" t="s">
        <v>91</v>
      </c>
    </row>
    <row r="6" customFormat="false" ht="15" hidden="false" customHeight="true" outlineLevel="0" collapsed="false">
      <c r="A6" s="42" t="str">
        <f aca="false">IFERROR(INDEX(T_Depts[מחלקה],1),"")</f>
        <v/>
      </c>
      <c r="B6" s="96" t="n">
        <f aca="false">IFERROR(COUNTIFS(T_Assign[תאריך],"&gt;="&amp;$B$3,T_Assign[תאריך],"&lt;="&amp;$D$3,T_Assign[משמרת],"בוקר",T_Assign[מחלקה],$A6),0)</f>
        <v>0</v>
      </c>
      <c r="C6" s="96" t="n">
        <f aca="false">IFERROR(COUNTIFS(T_Assign[תאריך],"&gt;="&amp;$B$3,T_Assign[תאריך],"&lt;="&amp;$D$3,T_Assign[משמרת],"אמצע",T_Assign[מחלקה],$A6),0)</f>
        <v>0</v>
      </c>
      <c r="D6" s="96" t="n">
        <f aca="false">IFERROR(COUNTIFS(T_Assign[תאריך],"&gt;="&amp;$B$3,T_Assign[תאריך],"&lt;="&amp;$D$3,T_Assign[משמרת],"ערב",T_Assign[מחלקה],$A6),0)</f>
        <v>0</v>
      </c>
      <c r="E6" s="46" t="n">
        <f aca="false">IFERROR(SUM(B6:D6),0)</f>
        <v>0</v>
      </c>
      <c r="F6" s="97" t="n">
        <f aca="false">IFERROR(SUMPRODUCT((T_Standards[מחלקה]=$A6)*T_Standards[תקן])*7,0)</f>
        <v>0</v>
      </c>
      <c r="G6" s="100" t="n">
        <f aca="false">IFERROR(F6-E6,0)</f>
        <v>0</v>
      </c>
      <c r="H6" s="101" t="n">
        <f aca="false">IFERROR(IF(F6=0,0,E6/F6),0)</f>
        <v>0</v>
      </c>
      <c r="I6" s="102" t="str">
        <f aca="false">IFERROR(IF(G6&gt;0,"⚠ חוסר של "&amp;G6,IF(G6&lt;0,"↑ עודף של "&amp;ABS(G6),"✓ מאויש")),"")</f>
        <v>✓ מאויש</v>
      </c>
    </row>
    <row r="7" customFormat="false" ht="15" hidden="false" customHeight="true" outlineLevel="0" collapsed="false">
      <c r="A7" s="42" t="str">
        <f aca="false">IFERROR(INDEX(T_Depts[מחלקה],2),"")</f>
        <v/>
      </c>
      <c r="B7" s="10" t="n">
        <f aca="false">IFERROR(COUNTIFS(T_Assign[תאריך],"&gt;="&amp;$B$3,T_Assign[תאריך],"&lt;="&amp;$D$3,T_Assign[משמרת],"בוקר",T_Assign[מחלקה],$A7),0)</f>
        <v>0</v>
      </c>
      <c r="C7" s="10" t="n">
        <f aca="false">IFERROR(COUNTIFS(T_Assign[תאריך],"&gt;="&amp;$B$3,T_Assign[תאריך],"&lt;="&amp;$D$3,T_Assign[משמרת],"אמצע",T_Assign[מחלקה],$A7),0)</f>
        <v>0</v>
      </c>
      <c r="D7" s="10" t="n">
        <f aca="false">IFERROR(COUNTIFS(T_Assign[תאריך],"&gt;="&amp;$B$3,T_Assign[תאריך],"&lt;="&amp;$D$3,T_Assign[משמרת],"ערב",T_Assign[מחלקה],$A7),0)</f>
        <v>0</v>
      </c>
      <c r="E7" s="46" t="n">
        <f aca="false">IFERROR(SUM(B7:D7),0)</f>
        <v>0</v>
      </c>
      <c r="F7" s="98" t="n">
        <f aca="false">IFERROR(SUMPRODUCT((T_Standards[מחלקה]=$A7)*T_Standards[תקן])*7,0)</f>
        <v>0</v>
      </c>
      <c r="G7" s="103" t="n">
        <f aca="false">IFERROR(F7-E7,0)</f>
        <v>0</v>
      </c>
      <c r="H7" s="104" t="n">
        <f aca="false">IFERROR(IF(F7=0,0,E7/F7),0)</f>
        <v>0</v>
      </c>
      <c r="I7" s="105" t="str">
        <f aca="false">IFERROR(IF(G7&gt;0,"⚠ חוסר של "&amp;G7,IF(G7&lt;0,"↑ עודף של "&amp;ABS(G7),"✓ מאויש")),"")</f>
        <v>✓ מאויש</v>
      </c>
    </row>
    <row r="8" customFormat="false" ht="15" hidden="false" customHeight="true" outlineLevel="0" collapsed="false">
      <c r="A8" s="42" t="str">
        <f aca="false">IFERROR(INDEX(T_Depts[מחלקה],3),"")</f>
        <v/>
      </c>
      <c r="B8" s="96" t="n">
        <f aca="false">IFERROR(COUNTIFS(T_Assign[תאריך],"&gt;="&amp;$B$3,T_Assign[תאריך],"&lt;="&amp;$D$3,T_Assign[משמרת],"בוקר",T_Assign[מחלקה],$A8),0)</f>
        <v>0</v>
      </c>
      <c r="C8" s="96" t="n">
        <f aca="false">IFERROR(COUNTIFS(T_Assign[תאריך],"&gt;="&amp;$B$3,T_Assign[תאריך],"&lt;="&amp;$D$3,T_Assign[משמרת],"אמצע",T_Assign[מחלקה],$A8),0)</f>
        <v>0</v>
      </c>
      <c r="D8" s="96" t="n">
        <f aca="false">IFERROR(COUNTIFS(T_Assign[תאריך],"&gt;="&amp;$B$3,T_Assign[תאריך],"&lt;="&amp;$D$3,T_Assign[משמרת],"ערב",T_Assign[מחלקה],$A8),0)</f>
        <v>0</v>
      </c>
      <c r="E8" s="46" t="n">
        <f aca="false">IFERROR(SUM(B8:D8),0)</f>
        <v>0</v>
      </c>
      <c r="F8" s="97" t="n">
        <f aca="false">IFERROR(SUMPRODUCT((T_Standards[מחלקה]=$A8)*T_Standards[תקן])*7,0)</f>
        <v>0</v>
      </c>
      <c r="G8" s="100" t="n">
        <f aca="false">IFERROR(F8-E8,0)</f>
        <v>0</v>
      </c>
      <c r="H8" s="101" t="n">
        <f aca="false">IFERROR(IF(F8=0,0,E8/F8),0)</f>
        <v>0</v>
      </c>
      <c r="I8" s="102" t="str">
        <f aca="false">IFERROR(IF(G8&gt;0,"⚠ חוסר של "&amp;G8,IF(G8&lt;0,"↑ עודף של "&amp;ABS(G8),"✓ מאויש")),"")</f>
        <v>✓ מאויש</v>
      </c>
    </row>
    <row r="9" customFormat="false" ht="15" hidden="false" customHeight="true" outlineLevel="0" collapsed="false">
      <c r="A9" s="42" t="str">
        <f aca="false">IFERROR(INDEX(T_Depts[מחלקה],4),"")</f>
        <v/>
      </c>
      <c r="B9" s="10" t="n">
        <f aca="false">IFERROR(COUNTIFS(T_Assign[תאריך],"&gt;="&amp;$B$3,T_Assign[תאריך],"&lt;="&amp;$D$3,T_Assign[משמרת],"בוקר",T_Assign[מחלקה],$A9),0)</f>
        <v>0</v>
      </c>
      <c r="C9" s="10" t="n">
        <f aca="false">IFERROR(COUNTIFS(T_Assign[תאריך],"&gt;="&amp;$B$3,T_Assign[תאריך],"&lt;="&amp;$D$3,T_Assign[משמרת],"אמצע",T_Assign[מחלקה],$A9),0)</f>
        <v>0</v>
      </c>
      <c r="D9" s="10" t="n">
        <f aca="false">IFERROR(COUNTIFS(T_Assign[תאריך],"&gt;="&amp;$B$3,T_Assign[תאריך],"&lt;="&amp;$D$3,T_Assign[משמרת],"ערב",T_Assign[מחלקה],$A9),0)</f>
        <v>0</v>
      </c>
      <c r="E9" s="46" t="n">
        <f aca="false">IFERROR(SUM(B9:D9),0)</f>
        <v>0</v>
      </c>
      <c r="F9" s="98" t="n">
        <f aca="false">IFERROR(SUMPRODUCT((T_Standards[מחלקה]=$A9)*T_Standards[תקן])*7,0)</f>
        <v>0</v>
      </c>
      <c r="G9" s="103" t="n">
        <f aca="false">IFERROR(F9-E9,0)</f>
        <v>0</v>
      </c>
      <c r="H9" s="104" t="n">
        <f aca="false">IFERROR(IF(F9=0,0,E9/F9),0)</f>
        <v>0</v>
      </c>
      <c r="I9" s="105" t="str">
        <f aca="false">IFERROR(IF(G9&gt;0,"⚠ חוסר של "&amp;G9,IF(G9&lt;0,"↑ עודף של "&amp;ABS(G9),"✓ מאויש")),"")</f>
        <v>✓ מאויש</v>
      </c>
    </row>
    <row r="10" customFormat="false" ht="15" hidden="false" customHeight="true" outlineLevel="0" collapsed="false">
      <c r="A10" s="42" t="str">
        <f aca="false">IFERROR(INDEX(T_Depts[מחלקה],5),"")</f>
        <v/>
      </c>
      <c r="B10" s="96" t="n">
        <f aca="false">IFERROR(COUNTIFS(T_Assign[תאריך],"&gt;="&amp;$B$3,T_Assign[תאריך],"&lt;="&amp;$D$3,T_Assign[משמרת],"בוקר",T_Assign[מחלקה],$A10),0)</f>
        <v>0</v>
      </c>
      <c r="C10" s="96" t="n">
        <f aca="false">IFERROR(COUNTIFS(T_Assign[תאריך],"&gt;="&amp;$B$3,T_Assign[תאריך],"&lt;="&amp;$D$3,T_Assign[משמרת],"אמצע",T_Assign[מחלקה],$A10),0)</f>
        <v>0</v>
      </c>
      <c r="D10" s="96" t="n">
        <f aca="false">IFERROR(COUNTIFS(T_Assign[תאריך],"&gt;="&amp;$B$3,T_Assign[תאריך],"&lt;="&amp;$D$3,T_Assign[משמרת],"ערב",T_Assign[מחלקה],$A10),0)</f>
        <v>0</v>
      </c>
      <c r="E10" s="46" t="n">
        <f aca="false">IFERROR(SUM(B10:D10),0)</f>
        <v>0</v>
      </c>
      <c r="F10" s="97" t="n">
        <f aca="false">IFERROR(SUMPRODUCT((T_Standards[מחלקה]=$A10)*T_Standards[תקן])*7,0)</f>
        <v>0</v>
      </c>
      <c r="G10" s="100" t="n">
        <f aca="false">IFERROR(F10-E10,0)</f>
        <v>0</v>
      </c>
      <c r="H10" s="101" t="n">
        <f aca="false">IFERROR(IF(F10=0,0,E10/F10),0)</f>
        <v>0</v>
      </c>
      <c r="I10" s="102" t="str">
        <f aca="false">IFERROR(IF(G10&gt;0,"⚠ חוסר של "&amp;G10,IF(G10&lt;0,"↑ עודף של "&amp;ABS(G10),"✓ מאויש")),"")</f>
        <v>✓ מאויש</v>
      </c>
    </row>
    <row r="11" customFormat="false" ht="15" hidden="false" customHeight="true" outlineLevel="0" collapsed="false">
      <c r="A11" s="42" t="str">
        <f aca="false">IFERROR(INDEX(T_Depts[מחלקה],6),"")</f>
        <v/>
      </c>
      <c r="B11" s="10" t="n">
        <f aca="false">IFERROR(COUNTIFS(T_Assign[תאריך],"&gt;="&amp;$B$3,T_Assign[תאריך],"&lt;="&amp;$D$3,T_Assign[משמרת],"בוקר",T_Assign[מחלקה],$A11),0)</f>
        <v>0</v>
      </c>
      <c r="C11" s="10" t="n">
        <f aca="false">IFERROR(COUNTIFS(T_Assign[תאריך],"&gt;="&amp;$B$3,T_Assign[תאריך],"&lt;="&amp;$D$3,T_Assign[משמרת],"אמצע",T_Assign[מחלקה],$A11),0)</f>
        <v>0</v>
      </c>
      <c r="D11" s="10" t="n">
        <f aca="false">IFERROR(COUNTIFS(T_Assign[תאריך],"&gt;="&amp;$B$3,T_Assign[תאריך],"&lt;="&amp;$D$3,T_Assign[משמרת],"ערב",T_Assign[מחלקה],$A11),0)</f>
        <v>0</v>
      </c>
      <c r="E11" s="46" t="n">
        <f aca="false">IFERROR(SUM(B11:D11),0)</f>
        <v>0</v>
      </c>
      <c r="F11" s="98" t="n">
        <f aca="false">IFERROR(SUMPRODUCT((T_Standards[מחלקה]=$A11)*T_Standards[תקן])*7,0)</f>
        <v>0</v>
      </c>
      <c r="G11" s="103" t="n">
        <f aca="false">IFERROR(F11-E11,0)</f>
        <v>0</v>
      </c>
      <c r="H11" s="104" t="n">
        <f aca="false">IFERROR(IF(F11=0,0,E11/F11),0)</f>
        <v>0</v>
      </c>
      <c r="I11" s="105" t="str">
        <f aca="false">IFERROR(IF(G11&gt;0,"⚠ חוסר של "&amp;G11,IF(G11&lt;0,"↑ עודף של "&amp;ABS(G11),"✓ מאויש")),"")</f>
        <v>✓ מאויש</v>
      </c>
    </row>
    <row r="12" customFormat="false" ht="15" hidden="false" customHeight="true" outlineLevel="0" collapsed="false">
      <c r="A12" s="42" t="str">
        <f aca="false">IFERROR(INDEX(T_Depts[מחלקה],7),"")</f>
        <v/>
      </c>
      <c r="B12" s="96" t="n">
        <f aca="false">IFERROR(COUNTIFS(T_Assign[תאריך],"&gt;="&amp;$B$3,T_Assign[תאריך],"&lt;="&amp;$D$3,T_Assign[משמרת],"בוקר",T_Assign[מחלקה],$A12),0)</f>
        <v>0</v>
      </c>
      <c r="C12" s="96" t="n">
        <f aca="false">IFERROR(COUNTIFS(T_Assign[תאריך],"&gt;="&amp;$B$3,T_Assign[תאריך],"&lt;="&amp;$D$3,T_Assign[משמרת],"אמצע",T_Assign[מחלקה],$A12),0)</f>
        <v>0</v>
      </c>
      <c r="D12" s="96" t="n">
        <f aca="false">IFERROR(COUNTIFS(T_Assign[תאריך],"&gt;="&amp;$B$3,T_Assign[תאריך],"&lt;="&amp;$D$3,T_Assign[משמרת],"ערב",T_Assign[מחלקה],$A12),0)</f>
        <v>0</v>
      </c>
      <c r="E12" s="46" t="n">
        <f aca="false">IFERROR(SUM(B12:D12),0)</f>
        <v>0</v>
      </c>
      <c r="F12" s="97" t="n">
        <f aca="false">IFERROR(SUMPRODUCT((T_Standards[מחלקה]=$A12)*T_Standards[תקן])*7,0)</f>
        <v>0</v>
      </c>
      <c r="G12" s="100" t="n">
        <f aca="false">IFERROR(F12-E12,0)</f>
        <v>0</v>
      </c>
      <c r="H12" s="101" t="n">
        <f aca="false">IFERROR(IF(F12=0,0,E12/F12),0)</f>
        <v>0</v>
      </c>
      <c r="I12" s="102" t="str">
        <f aca="false">IFERROR(IF(G12&gt;0,"⚠ חוסר של "&amp;G12,IF(G12&lt;0,"↑ עודף של "&amp;ABS(G12),"✓ מאויש")),"")</f>
        <v>✓ מאויש</v>
      </c>
    </row>
    <row r="13" customFormat="false" ht="15" hidden="false" customHeight="true" outlineLevel="0" collapsed="false">
      <c r="A13" s="42" t="str">
        <f aca="false">IFERROR(INDEX(T_Depts[מחלקה],8),"")</f>
        <v/>
      </c>
      <c r="B13" s="10" t="n">
        <f aca="false">IFERROR(COUNTIFS(T_Assign[תאריך],"&gt;="&amp;$B$3,T_Assign[תאריך],"&lt;="&amp;$D$3,T_Assign[משמרת],"בוקר",T_Assign[מחלקה],$A13),0)</f>
        <v>0</v>
      </c>
      <c r="C13" s="10" t="n">
        <f aca="false">IFERROR(COUNTIFS(T_Assign[תאריך],"&gt;="&amp;$B$3,T_Assign[תאריך],"&lt;="&amp;$D$3,T_Assign[משמרת],"אמצע",T_Assign[מחלקה],$A13),0)</f>
        <v>0</v>
      </c>
      <c r="D13" s="10" t="n">
        <f aca="false">IFERROR(COUNTIFS(T_Assign[תאריך],"&gt;="&amp;$B$3,T_Assign[תאריך],"&lt;="&amp;$D$3,T_Assign[משמרת],"ערב",T_Assign[מחלקה],$A13),0)</f>
        <v>0</v>
      </c>
      <c r="E13" s="46" t="n">
        <f aca="false">IFERROR(SUM(B13:D13),0)</f>
        <v>0</v>
      </c>
      <c r="F13" s="98" t="n">
        <f aca="false">IFERROR(SUMPRODUCT((T_Standards[מחלקה]=$A13)*T_Standards[תקן])*7,0)</f>
        <v>0</v>
      </c>
      <c r="G13" s="103" t="n">
        <f aca="false">IFERROR(F13-E13,0)</f>
        <v>0</v>
      </c>
      <c r="H13" s="104" t="n">
        <f aca="false">IFERROR(IF(F13=0,0,E13/F13),0)</f>
        <v>0</v>
      </c>
      <c r="I13" s="105" t="str">
        <f aca="false">IFERROR(IF(G13&gt;0,"⚠ חוסר של "&amp;G13,IF(G13&lt;0,"↑ עודף של "&amp;ABS(G13),"✓ מאויש")),"")</f>
        <v>✓ מאויש</v>
      </c>
    </row>
    <row r="14" customFormat="false" ht="15" hidden="false" customHeight="true" outlineLevel="0" collapsed="false">
      <c r="A14" s="42" t="str">
        <f aca="false">IFERROR(INDEX(T_Depts[מחלקה],9),"")</f>
        <v/>
      </c>
      <c r="B14" s="96" t="n">
        <f aca="false">IFERROR(COUNTIFS(T_Assign[תאריך],"&gt;="&amp;$B$3,T_Assign[תאריך],"&lt;="&amp;$D$3,T_Assign[משמרת],"בוקר",T_Assign[מחלקה],$A14),0)</f>
        <v>0</v>
      </c>
      <c r="C14" s="96" t="n">
        <f aca="false">IFERROR(COUNTIFS(T_Assign[תאריך],"&gt;="&amp;$B$3,T_Assign[תאריך],"&lt;="&amp;$D$3,T_Assign[משמרת],"אמצע",T_Assign[מחלקה],$A14),0)</f>
        <v>0</v>
      </c>
      <c r="D14" s="96" t="n">
        <f aca="false">IFERROR(COUNTIFS(T_Assign[תאריך],"&gt;="&amp;$B$3,T_Assign[תאריך],"&lt;="&amp;$D$3,T_Assign[משמרת],"ערב",T_Assign[מחלקה],$A14),0)</f>
        <v>0</v>
      </c>
      <c r="E14" s="46" t="n">
        <f aca="false">IFERROR(SUM(B14:D14),0)</f>
        <v>0</v>
      </c>
      <c r="F14" s="97" t="n">
        <f aca="false">IFERROR(SUMPRODUCT((T_Standards[מחלקה]=$A14)*T_Standards[תקן])*7,0)</f>
        <v>0</v>
      </c>
      <c r="G14" s="100" t="n">
        <f aca="false">IFERROR(F14-E14,0)</f>
        <v>0</v>
      </c>
      <c r="H14" s="101" t="n">
        <f aca="false">IFERROR(IF(F14=0,0,E14/F14),0)</f>
        <v>0</v>
      </c>
      <c r="I14" s="102" t="str">
        <f aca="false">IFERROR(IF(G14&gt;0,"⚠ חוסר של "&amp;G14,IF(G14&lt;0,"↑ עודף של "&amp;ABS(G14),"✓ מאויש")),"")</f>
        <v>✓ מאויש</v>
      </c>
    </row>
    <row r="15" customFormat="false" ht="15" hidden="false" customHeight="true" outlineLevel="0" collapsed="false">
      <c r="A15" s="42" t="str">
        <f aca="false">IFERROR(INDEX(T_Depts[מחלקה],10),"")</f>
        <v/>
      </c>
      <c r="B15" s="10" t="n">
        <f aca="false">IFERROR(COUNTIFS(T_Assign[תאריך],"&gt;="&amp;$B$3,T_Assign[תאריך],"&lt;="&amp;$D$3,T_Assign[משמרת],"בוקר",T_Assign[מחלקה],$A15),0)</f>
        <v>0</v>
      </c>
      <c r="C15" s="10" t="n">
        <f aca="false">IFERROR(COUNTIFS(T_Assign[תאריך],"&gt;="&amp;$B$3,T_Assign[תאריך],"&lt;="&amp;$D$3,T_Assign[משמרת],"אמצע",T_Assign[מחלקה],$A15),0)</f>
        <v>0</v>
      </c>
      <c r="D15" s="10" t="n">
        <f aca="false">IFERROR(COUNTIFS(T_Assign[תאריך],"&gt;="&amp;$B$3,T_Assign[תאריך],"&lt;="&amp;$D$3,T_Assign[משמרת],"ערב",T_Assign[מחלקה],$A15),0)</f>
        <v>0</v>
      </c>
      <c r="E15" s="46" t="n">
        <f aca="false">IFERROR(SUM(B15:D15),0)</f>
        <v>0</v>
      </c>
      <c r="F15" s="98" t="n">
        <f aca="false">IFERROR(SUMPRODUCT((T_Standards[מחלקה]=$A15)*T_Standards[תקן])*7,0)</f>
        <v>0</v>
      </c>
      <c r="G15" s="103" t="n">
        <f aca="false">IFERROR(F15-E15,0)</f>
        <v>0</v>
      </c>
      <c r="H15" s="104" t="n">
        <f aca="false">IFERROR(IF(F15=0,0,E15/F15),0)</f>
        <v>0</v>
      </c>
      <c r="I15" s="105" t="str">
        <f aca="false">IFERROR(IF(G15&gt;0,"⚠ חוסר של "&amp;G15,IF(G15&lt;0,"↑ עודף של "&amp;ABS(G15),"✓ מאויש")),"")</f>
        <v>✓ מאויש</v>
      </c>
    </row>
    <row r="16" customFormat="false" ht="15" hidden="false" customHeight="true" outlineLevel="0" collapsed="false">
      <c r="A16" s="42" t="str">
        <f aca="false">IFERROR(INDEX(T_Depts[מחלקה],11),"")</f>
        <v/>
      </c>
      <c r="B16" s="96" t="n">
        <f aca="false">IFERROR(COUNTIFS(T_Assign[תאריך],"&gt;="&amp;$B$3,T_Assign[תאריך],"&lt;="&amp;$D$3,T_Assign[משמרת],"בוקר",T_Assign[מחלקה],$A16),0)</f>
        <v>0</v>
      </c>
      <c r="C16" s="96" t="n">
        <f aca="false">IFERROR(COUNTIFS(T_Assign[תאריך],"&gt;="&amp;$B$3,T_Assign[תאריך],"&lt;="&amp;$D$3,T_Assign[משמרת],"אמצע",T_Assign[מחלקה],$A16),0)</f>
        <v>0</v>
      </c>
      <c r="D16" s="96" t="n">
        <f aca="false">IFERROR(COUNTIFS(T_Assign[תאריך],"&gt;="&amp;$B$3,T_Assign[תאריך],"&lt;="&amp;$D$3,T_Assign[משמרת],"ערב",T_Assign[מחלקה],$A16),0)</f>
        <v>0</v>
      </c>
      <c r="E16" s="46" t="n">
        <f aca="false">IFERROR(SUM(B16:D16),0)</f>
        <v>0</v>
      </c>
      <c r="F16" s="97" t="n">
        <f aca="false">IFERROR(SUMPRODUCT((T_Standards[מחלקה]=$A16)*T_Standards[תקן])*7,0)</f>
        <v>0</v>
      </c>
      <c r="G16" s="100" t="n">
        <f aca="false">IFERROR(F16-E16,0)</f>
        <v>0</v>
      </c>
      <c r="H16" s="101" t="n">
        <f aca="false">IFERROR(IF(F16=0,0,E16/F16),0)</f>
        <v>0</v>
      </c>
      <c r="I16" s="102" t="str">
        <f aca="false">IFERROR(IF(G16&gt;0,"⚠ חוסר של "&amp;G16,IF(G16&lt;0,"↑ עודף של "&amp;ABS(G16),"✓ מאויש")),"")</f>
        <v>✓ מאויש</v>
      </c>
    </row>
    <row r="17" customFormat="false" ht="15" hidden="false" customHeight="true" outlineLevel="0" collapsed="false">
      <c r="A17" s="42" t="str">
        <f aca="false">IFERROR(INDEX(T_Depts[מחלקה],12),"")</f>
        <v/>
      </c>
      <c r="B17" s="10" t="n">
        <f aca="false">IFERROR(COUNTIFS(T_Assign[תאריך],"&gt;="&amp;$B$3,T_Assign[תאריך],"&lt;="&amp;$D$3,T_Assign[משמרת],"בוקר",T_Assign[מחלקה],$A17),0)</f>
        <v>0</v>
      </c>
      <c r="C17" s="10" t="n">
        <f aca="false">IFERROR(COUNTIFS(T_Assign[תאריך],"&gt;="&amp;$B$3,T_Assign[תאריך],"&lt;="&amp;$D$3,T_Assign[משמרת],"אמצע",T_Assign[מחלקה],$A17),0)</f>
        <v>0</v>
      </c>
      <c r="D17" s="10" t="n">
        <f aca="false">IFERROR(COUNTIFS(T_Assign[תאריך],"&gt;="&amp;$B$3,T_Assign[תאריך],"&lt;="&amp;$D$3,T_Assign[משמרת],"ערב",T_Assign[מחלקה],$A17),0)</f>
        <v>0</v>
      </c>
      <c r="E17" s="46" t="n">
        <f aca="false">IFERROR(SUM(B17:D17),0)</f>
        <v>0</v>
      </c>
      <c r="F17" s="98" t="n">
        <f aca="false">IFERROR(SUMPRODUCT((T_Standards[מחלקה]=$A17)*T_Standards[תקן])*7,0)</f>
        <v>0</v>
      </c>
      <c r="G17" s="103" t="n">
        <f aca="false">IFERROR(F17-E17,0)</f>
        <v>0</v>
      </c>
      <c r="H17" s="104" t="n">
        <f aca="false">IFERROR(IF(F17=0,0,E17/F17),0)</f>
        <v>0</v>
      </c>
      <c r="I17" s="105" t="str">
        <f aca="false">IFERROR(IF(G17&gt;0,"⚠ חוסר של "&amp;G17,IF(G17&lt;0,"↑ עודף של "&amp;ABS(G17),"✓ מאויש")),"")</f>
        <v>✓ מאויש</v>
      </c>
    </row>
    <row r="18" customFormat="false" ht="15" hidden="false" customHeight="true" outlineLevel="0" collapsed="false">
      <c r="A18" s="42" t="str">
        <f aca="false">IFERROR(INDEX(T_Depts[מחלקה],13),"")</f>
        <v/>
      </c>
      <c r="B18" s="96" t="n">
        <f aca="false">IFERROR(COUNTIFS(T_Assign[תאריך],"&gt;="&amp;$B$3,T_Assign[תאריך],"&lt;="&amp;$D$3,T_Assign[משמרת],"בוקר",T_Assign[מחלקה],$A18),0)</f>
        <v>0</v>
      </c>
      <c r="C18" s="96" t="n">
        <f aca="false">IFERROR(COUNTIFS(T_Assign[תאריך],"&gt;="&amp;$B$3,T_Assign[תאריך],"&lt;="&amp;$D$3,T_Assign[משמרת],"אמצע",T_Assign[מחלקה],$A18),0)</f>
        <v>0</v>
      </c>
      <c r="D18" s="96" t="n">
        <f aca="false">IFERROR(COUNTIFS(T_Assign[תאריך],"&gt;="&amp;$B$3,T_Assign[תאריך],"&lt;="&amp;$D$3,T_Assign[משמרת],"ערב",T_Assign[מחלקה],$A18),0)</f>
        <v>0</v>
      </c>
      <c r="E18" s="46" t="n">
        <f aca="false">IFERROR(SUM(B18:D18),0)</f>
        <v>0</v>
      </c>
      <c r="F18" s="97" t="n">
        <f aca="false">IFERROR(SUMPRODUCT((T_Standards[מחלקה]=$A18)*T_Standards[תקן])*7,0)</f>
        <v>0</v>
      </c>
      <c r="G18" s="100" t="n">
        <f aca="false">IFERROR(F18-E18,0)</f>
        <v>0</v>
      </c>
      <c r="H18" s="101" t="n">
        <f aca="false">IFERROR(IF(F18=0,0,E18/F18),0)</f>
        <v>0</v>
      </c>
      <c r="I18" s="102" t="str">
        <f aca="false">IFERROR(IF(G18&gt;0,"⚠ חוסר של "&amp;G18,IF(G18&lt;0,"↑ עודף של "&amp;ABS(G18),"✓ מאויש")),"")</f>
        <v>✓ מאויש</v>
      </c>
    </row>
    <row r="19" customFormat="false" ht="15" hidden="false" customHeight="true" outlineLevel="0" collapsed="false">
      <c r="A19" s="42" t="str">
        <f aca="false">IFERROR(INDEX(T_Depts[מחלקה],14),"")</f>
        <v/>
      </c>
      <c r="B19" s="10" t="n">
        <f aca="false">IFERROR(COUNTIFS(T_Assign[תאריך],"&gt;="&amp;$B$3,T_Assign[תאריך],"&lt;="&amp;$D$3,T_Assign[משמרת],"בוקר",T_Assign[מחלקה],$A19),0)</f>
        <v>0</v>
      </c>
      <c r="C19" s="10" t="n">
        <f aca="false">IFERROR(COUNTIFS(T_Assign[תאריך],"&gt;="&amp;$B$3,T_Assign[תאריך],"&lt;="&amp;$D$3,T_Assign[משמרת],"אמצע",T_Assign[מחלקה],$A19),0)</f>
        <v>0</v>
      </c>
      <c r="D19" s="10" t="n">
        <f aca="false">IFERROR(COUNTIFS(T_Assign[תאריך],"&gt;="&amp;$B$3,T_Assign[תאריך],"&lt;="&amp;$D$3,T_Assign[משמרת],"ערב",T_Assign[מחלקה],$A19),0)</f>
        <v>0</v>
      </c>
      <c r="E19" s="46" t="n">
        <f aca="false">IFERROR(SUM(B19:D19),0)</f>
        <v>0</v>
      </c>
      <c r="F19" s="98" t="n">
        <f aca="false">IFERROR(SUMPRODUCT((T_Standards[מחלקה]=$A19)*T_Standards[תקן])*7,0)</f>
        <v>0</v>
      </c>
      <c r="G19" s="103" t="n">
        <f aca="false">IFERROR(F19-E19,0)</f>
        <v>0</v>
      </c>
      <c r="H19" s="104" t="n">
        <f aca="false">IFERROR(IF(F19=0,0,E19/F19),0)</f>
        <v>0</v>
      </c>
      <c r="I19" s="105" t="str">
        <f aca="false">IFERROR(IF(G19&gt;0,"⚠ חוסר של "&amp;G19,IF(G19&lt;0,"↑ עודף של "&amp;ABS(G19),"✓ מאויש")),"")</f>
        <v>✓ מאויש</v>
      </c>
    </row>
    <row r="20" customFormat="false" ht="15" hidden="false" customHeight="true" outlineLevel="0" collapsed="false">
      <c r="A20" s="42" t="str">
        <f aca="false">IFERROR(INDEX(T_Depts[מחלקה],15),"")</f>
        <v/>
      </c>
      <c r="B20" s="96" t="n">
        <f aca="false">IFERROR(COUNTIFS(T_Assign[תאריך],"&gt;="&amp;$B$3,T_Assign[תאריך],"&lt;="&amp;$D$3,T_Assign[משמרת],"בוקר",T_Assign[מחלקה],$A20),0)</f>
        <v>0</v>
      </c>
      <c r="C20" s="96" t="n">
        <f aca="false">IFERROR(COUNTIFS(T_Assign[תאריך],"&gt;="&amp;$B$3,T_Assign[תאריך],"&lt;="&amp;$D$3,T_Assign[משמרת],"אמצע",T_Assign[מחלקה],$A20),0)</f>
        <v>0</v>
      </c>
      <c r="D20" s="96" t="n">
        <f aca="false">IFERROR(COUNTIFS(T_Assign[תאריך],"&gt;="&amp;$B$3,T_Assign[תאריך],"&lt;="&amp;$D$3,T_Assign[משמרת],"ערב",T_Assign[מחלקה],$A20),0)</f>
        <v>0</v>
      </c>
      <c r="E20" s="46" t="n">
        <f aca="false">IFERROR(SUM(B20:D20),0)</f>
        <v>0</v>
      </c>
      <c r="F20" s="97" t="n">
        <f aca="false">IFERROR(SUMPRODUCT((T_Standards[מחלקה]=$A20)*T_Standards[תקן])*7,0)</f>
        <v>0</v>
      </c>
      <c r="G20" s="100" t="n">
        <f aca="false">IFERROR(F20-E20,0)</f>
        <v>0</v>
      </c>
      <c r="H20" s="101" t="n">
        <f aca="false">IFERROR(IF(F20=0,0,E20/F20),0)</f>
        <v>0</v>
      </c>
      <c r="I20" s="102" t="str">
        <f aca="false">IFERROR(IF(G20&gt;0,"⚠ חוסר של "&amp;G20,IF(G20&lt;0,"↑ עודף של "&amp;ABS(G20),"✓ מאויש")),"")</f>
        <v>✓ מאויש</v>
      </c>
    </row>
    <row r="21" customFormat="false" ht="15" hidden="false" customHeight="true" outlineLevel="0" collapsed="false">
      <c r="A21" s="19" t="s">
        <v>59</v>
      </c>
      <c r="B21" s="53" t="n">
        <f aca="false">IFERROR(SUM(B6:B20),0)</f>
        <v>0</v>
      </c>
      <c r="C21" s="53" t="n">
        <f aca="false">IFERROR(SUM(C6:C20),0)</f>
        <v>0</v>
      </c>
      <c r="D21" s="53" t="n">
        <f aca="false">IFERROR(SUM(D6:D20),0)</f>
        <v>0</v>
      </c>
      <c r="E21" s="53" t="n">
        <f aca="false">IFERROR(SUM(E6:E20),0)</f>
        <v>0</v>
      </c>
      <c r="F21" s="53" t="n">
        <f aca="false">IFERROR(SUM(F6:F20),0)</f>
        <v>0</v>
      </c>
      <c r="G21" s="53" t="n">
        <f aca="false">IFERROR(SUM(G6:G20),0)</f>
        <v>0</v>
      </c>
      <c r="H21" s="106"/>
      <c r="I21" s="54"/>
    </row>
  </sheetData>
  <mergeCells count="1">
    <mergeCell ref="A1:L1"/>
  </mergeCells>
  <conditionalFormatting sqref="G6">
    <cfRule type="expression" priority="2" aboveAverage="0" equalAverage="0" bottom="0" percent="0" rank="0" text="" dxfId="12">
      <formula>G6&gt;0</formula>
    </cfRule>
    <cfRule type="expression" priority="3" aboveAverage="0" equalAverage="0" bottom="0" percent="0" rank="0" text="" dxfId="13">
      <formula>G6&lt;0</formula>
    </cfRule>
  </conditionalFormatting>
  <conditionalFormatting sqref="G7">
    <cfRule type="expression" priority="4" aboveAverage="0" equalAverage="0" bottom="0" percent="0" rank="0" text="" dxfId="12">
      <formula>G7&gt;0</formula>
    </cfRule>
    <cfRule type="expression" priority="5" aboveAverage="0" equalAverage="0" bottom="0" percent="0" rank="0" text="" dxfId="13">
      <formula>G7&lt;0</formula>
    </cfRule>
  </conditionalFormatting>
  <conditionalFormatting sqref="G8">
    <cfRule type="expression" priority="6" aboveAverage="0" equalAverage="0" bottom="0" percent="0" rank="0" text="" dxfId="12">
      <formula>G8&gt;0</formula>
    </cfRule>
    <cfRule type="expression" priority="7" aboveAverage="0" equalAverage="0" bottom="0" percent="0" rank="0" text="" dxfId="13">
      <formula>G8&lt;0</formula>
    </cfRule>
  </conditionalFormatting>
  <conditionalFormatting sqref="G9">
    <cfRule type="expression" priority="8" aboveAverage="0" equalAverage="0" bottom="0" percent="0" rank="0" text="" dxfId="12">
      <formula>G9&gt;0</formula>
    </cfRule>
    <cfRule type="expression" priority="9" aboveAverage="0" equalAverage="0" bottom="0" percent="0" rank="0" text="" dxfId="13">
      <formula>G9&lt;0</formula>
    </cfRule>
  </conditionalFormatting>
  <conditionalFormatting sqref="G10">
    <cfRule type="expression" priority="10" aboveAverage="0" equalAverage="0" bottom="0" percent="0" rank="0" text="" dxfId="12">
      <formula>G10&gt;0</formula>
    </cfRule>
    <cfRule type="expression" priority="11" aboveAverage="0" equalAverage="0" bottom="0" percent="0" rank="0" text="" dxfId="13">
      <formula>G10&lt;0</formula>
    </cfRule>
  </conditionalFormatting>
  <conditionalFormatting sqref="G11">
    <cfRule type="expression" priority="12" aboveAverage="0" equalAverage="0" bottom="0" percent="0" rank="0" text="" dxfId="12">
      <formula>G11&gt;0</formula>
    </cfRule>
    <cfRule type="expression" priority="13" aboveAverage="0" equalAverage="0" bottom="0" percent="0" rank="0" text="" dxfId="13">
      <formula>G11&lt;0</formula>
    </cfRule>
  </conditionalFormatting>
  <conditionalFormatting sqref="G12">
    <cfRule type="expression" priority="14" aboveAverage="0" equalAverage="0" bottom="0" percent="0" rank="0" text="" dxfId="12">
      <formula>G12&gt;0</formula>
    </cfRule>
    <cfRule type="expression" priority="15" aboveAverage="0" equalAverage="0" bottom="0" percent="0" rank="0" text="" dxfId="13">
      <formula>G12&lt;0</formula>
    </cfRule>
  </conditionalFormatting>
  <conditionalFormatting sqref="G13">
    <cfRule type="expression" priority="16" aboveAverage="0" equalAverage="0" bottom="0" percent="0" rank="0" text="" dxfId="12">
      <formula>G13&gt;0</formula>
    </cfRule>
    <cfRule type="expression" priority="17" aboveAverage="0" equalAverage="0" bottom="0" percent="0" rank="0" text="" dxfId="13">
      <formula>G13&lt;0</formula>
    </cfRule>
  </conditionalFormatting>
  <conditionalFormatting sqref="G14">
    <cfRule type="expression" priority="18" aboveAverage="0" equalAverage="0" bottom="0" percent="0" rank="0" text="" dxfId="12">
      <formula>G14&gt;0</formula>
    </cfRule>
    <cfRule type="expression" priority="19" aboveAverage="0" equalAverage="0" bottom="0" percent="0" rank="0" text="" dxfId="13">
      <formula>G14&lt;0</formula>
    </cfRule>
  </conditionalFormatting>
  <conditionalFormatting sqref="G15">
    <cfRule type="expression" priority="20" aboveAverage="0" equalAverage="0" bottom="0" percent="0" rank="0" text="" dxfId="12">
      <formula>G15&gt;0</formula>
    </cfRule>
    <cfRule type="expression" priority="21" aboveAverage="0" equalAverage="0" bottom="0" percent="0" rank="0" text="" dxfId="13">
      <formula>G15&lt;0</formula>
    </cfRule>
  </conditionalFormatting>
  <conditionalFormatting sqref="G16">
    <cfRule type="expression" priority="22" aboveAverage="0" equalAverage="0" bottom="0" percent="0" rank="0" text="" dxfId="12">
      <formula>G16&gt;0</formula>
    </cfRule>
    <cfRule type="expression" priority="23" aboveAverage="0" equalAverage="0" bottom="0" percent="0" rank="0" text="" dxfId="13">
      <formula>G16&lt;0</formula>
    </cfRule>
  </conditionalFormatting>
  <conditionalFormatting sqref="G17">
    <cfRule type="expression" priority="24" aboveAverage="0" equalAverage="0" bottom="0" percent="0" rank="0" text="" dxfId="12">
      <formula>G17&gt;0</formula>
    </cfRule>
    <cfRule type="expression" priority="25" aboveAverage="0" equalAverage="0" bottom="0" percent="0" rank="0" text="" dxfId="13">
      <formula>G17&lt;0</formula>
    </cfRule>
  </conditionalFormatting>
  <conditionalFormatting sqref="G18">
    <cfRule type="expression" priority="26" aboveAverage="0" equalAverage="0" bottom="0" percent="0" rank="0" text="" dxfId="12">
      <formula>G18&gt;0</formula>
    </cfRule>
    <cfRule type="expression" priority="27" aboveAverage="0" equalAverage="0" bottom="0" percent="0" rank="0" text="" dxfId="13">
      <formula>G18&lt;0</formula>
    </cfRule>
  </conditionalFormatting>
  <conditionalFormatting sqref="G19">
    <cfRule type="expression" priority="28" aboveAverage="0" equalAverage="0" bottom="0" percent="0" rank="0" text="" dxfId="12">
      <formula>G19&gt;0</formula>
    </cfRule>
    <cfRule type="expression" priority="29" aboveAverage="0" equalAverage="0" bottom="0" percent="0" rank="0" text="" dxfId="13">
      <formula>G19&lt;0</formula>
    </cfRule>
  </conditionalFormatting>
  <conditionalFormatting sqref="G20">
    <cfRule type="expression" priority="30" aboveAverage="0" equalAverage="0" bottom="0" percent="0" rank="0" text="" dxfId="12">
      <formula>G20&gt;0</formula>
    </cfRule>
    <cfRule type="expression" priority="31" aboveAverage="0" equalAverage="0" bottom="0" percent="0" rank="0" text="" dxfId="13">
      <formula>G20&lt;0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9" min="7" style="1" width="14"/>
    <col collapsed="false" customWidth="true" hidden="false" outlineLevel="0" max="10" min="10" style="1" width="36"/>
  </cols>
  <sheetData>
    <row r="1" customFormat="false" ht="31.5" hidden="false" customHeight="true" outlineLevel="0" collapsed="false">
      <c r="A1" s="107" t="s">
        <v>92</v>
      </c>
      <c r="B1" s="107"/>
      <c r="C1" s="107"/>
      <c r="D1" s="107"/>
      <c r="E1" s="107"/>
      <c r="F1" s="107"/>
      <c r="G1" s="107"/>
      <c r="H1" s="107"/>
      <c r="I1" s="107"/>
      <c r="J1" s="107"/>
    </row>
    <row r="2" customFormat="false" ht="18" hidden="false" customHeight="true" outlineLevel="0" collapsed="false">
      <c r="A2" s="108" t="s">
        <v>93</v>
      </c>
      <c r="B2" s="108"/>
      <c r="C2" s="108"/>
      <c r="D2" s="108"/>
      <c r="E2" s="108"/>
      <c r="F2" s="108"/>
      <c r="G2" s="108"/>
      <c r="H2" s="108"/>
      <c r="I2" s="108"/>
      <c r="J2" s="108"/>
    </row>
    <row r="4" customFormat="false" ht="15.75" hidden="false" customHeight="true" outlineLevel="0" collapsed="false">
      <c r="A4" s="12" t="s">
        <v>94</v>
      </c>
      <c r="B4" s="109" t="n">
        <f aca="false">הגדרות!$C$3-30</f>
        <v>46066</v>
      </c>
      <c r="D4" s="12" t="s">
        <v>95</v>
      </c>
      <c r="E4" s="109" t="n">
        <f aca="false">הגדרות!$C$3+6</f>
        <v>46102</v>
      </c>
      <c r="G4" s="12" t="s">
        <v>96</v>
      </c>
      <c r="H4" s="110" t="n">
        <f aca="false">הגדרות!$C$14</f>
        <v>7</v>
      </c>
    </row>
    <row r="6" customFormat="false" ht="19.5" hidden="false" customHeight="true" outlineLevel="0" collapsed="false">
      <c r="A6" s="111" t="s">
        <v>97</v>
      </c>
      <c r="B6" s="111" t="s">
        <v>47</v>
      </c>
      <c r="C6" s="111" t="s">
        <v>34</v>
      </c>
      <c r="D6" s="18" t="s">
        <v>98</v>
      </c>
      <c r="E6" s="18" t="s">
        <v>99</v>
      </c>
      <c r="F6" s="16" t="s">
        <v>100</v>
      </c>
      <c r="G6" s="6" t="s">
        <v>101</v>
      </c>
      <c r="H6" s="6" t="s">
        <v>102</v>
      </c>
      <c r="I6" s="16" t="s">
        <v>52</v>
      </c>
      <c r="J6" s="32" t="s">
        <v>103</v>
      </c>
    </row>
    <row r="7" customFormat="false" ht="15" hidden="false" customHeight="true" outlineLevel="0" collapsed="false">
      <c r="A7" s="112" t="str">
        <f aca="false">IFERROR(IF(נתוני_בסיס!$Y$3="","",נתוני_בסיס!$Y$3),"")</f>
        <v/>
      </c>
      <c r="B7" s="113" t="str">
        <f aca="false">IFERROR(IF(A7="","",IF(COUNTIF(T_Consultants[שם יועץ],A7)&gt;0,"יועץ","עובד")),"")</f>
        <v/>
      </c>
      <c r="C7" s="34" t="str">
        <f aca="false">IFERROR(IF(A7="","",IFERROR(INDEX(T_Employees[מחלקה],MATCH(A7,T_Employees[שם],0)),INDEX(T_Consultants[מחלקה],MATCH(A7,T_Consultants[שם יועץ],0)))),"")</f>
        <v/>
      </c>
      <c r="D7" s="114" t="str">
        <f aca="false">IFERROR(IF(A7="","",COUNTIFS(T_Assign[שם],A7,T_Assign[תאריך],"&gt;="&amp;$B$4,T_Assign[תאריך],"&lt;="&amp;$E$4)),0)</f>
        <v/>
      </c>
      <c r="E7" s="114" t="str">
        <f aca="false">IFERROR(IF(A7="","",D7),0)</f>
        <v/>
      </c>
      <c r="F7" s="114" t="str">
        <f aca="false">IFERROR(IF(A7="","",INT(D7/הגדרות!$C$14)),0)</f>
        <v/>
      </c>
      <c r="G7" s="115" t="str">
        <f aca="false">IFERROR(IF(A7="","",minifs(T_Assign[תאריך],T_Assign[שם],A7,T_Assign[תאריך],"&gt;="&amp;$B$4)),"")</f>
        <v/>
      </c>
      <c r="H7" s="115" t="str">
        <f aca="false">IFERROR(IF(A7="","",maxifs(T_Assign[תאריך],T_Assign[שם],A7,T_Assign[תאריך],"&lt;="&amp;$E$4)),"")</f>
        <v/>
      </c>
      <c r="I7" s="45" t="str">
        <f aca="false">IFERROR(IF(A7="","",IF(D7&gt;=הגדרות!$C$14,"⚡ עומס!","✓ תקין")),"")</f>
        <v/>
      </c>
      <c r="J7" s="20" t="str">
        <f aca="false">IFERROR(IF(A7="","",IF(D7&gt;=הגדרות!$C$14,D7&amp;" משמרות — "&amp;TEXT(G7,"DD/MM/YY")&amp;" עד "&amp;TEXT(H7,"DD/MM/YY"),"")),"")</f>
        <v/>
      </c>
    </row>
    <row r="8" customFormat="false" ht="15" hidden="false" customHeight="true" outlineLevel="0" collapsed="false">
      <c r="A8" s="116" t="str">
        <f aca="false">IFERROR(IF(נתוני_בסיס!$Y$4="","",נתוני_בסיס!$Y$4),"")</f>
        <v/>
      </c>
      <c r="B8" s="117" t="str">
        <f aca="false">IFERROR(IF(A8="","",IF(COUNTIF(T_Consultants[שם יועץ],A8)&gt;0,"יועץ","עובד")),"")</f>
        <v/>
      </c>
      <c r="C8" s="118" t="str">
        <f aca="false">IFERROR(IF(A8="","",IFERROR(INDEX(T_Employees[מחלקה],MATCH(A8,T_Employees[שם],0)),INDEX(T_Consultants[מחלקה],MATCH(A8,T_Consultants[שם יועץ],0)))),"")</f>
        <v/>
      </c>
      <c r="D8" s="119" t="str">
        <f aca="false">IFERROR(IF(A8="","",COUNTIFS(T_Assign[שם],A8,T_Assign[תאריך],"&gt;="&amp;$B$4,T_Assign[תאריך],"&lt;="&amp;$E$4)),0)</f>
        <v/>
      </c>
      <c r="E8" s="119" t="str">
        <f aca="false">IFERROR(IF(A8="","",D8),0)</f>
        <v/>
      </c>
      <c r="F8" s="119" t="str">
        <f aca="false">IFERROR(IF(A8="","",INT(D8/הגדרות!$C$14)),0)</f>
        <v/>
      </c>
      <c r="G8" s="120" t="str">
        <f aca="false">IFERROR(IF(A8="","",minifs(T_Assign[תאריך],T_Assign[שם],A8,T_Assign[תאריך],"&gt;="&amp;$B$4)),"")</f>
        <v/>
      </c>
      <c r="H8" s="120" t="str">
        <f aca="false">IFERROR(IF(A8="","",maxifs(T_Assign[תאריך],T_Assign[שם],A8,T_Assign[תאריך],"&lt;="&amp;$E$4)),"")</f>
        <v/>
      </c>
      <c r="I8" s="51" t="str">
        <f aca="false">IFERROR(IF(A8="","",IF(D8&gt;=הגדרות!$C$14,"⚡ עומס!","✓ תקין")),"")</f>
        <v/>
      </c>
      <c r="J8" s="72" t="str">
        <f aca="false">IFERROR(IF(A8="","",IF(D8&gt;=הגדרות!$C$14,D8&amp;" משמרות — "&amp;TEXT(G8,"DD/MM/YY")&amp;" עד "&amp;TEXT(H8,"DD/MM/YY"),"")),"")</f>
        <v/>
      </c>
    </row>
    <row r="9" customFormat="false" ht="15" hidden="false" customHeight="true" outlineLevel="0" collapsed="false">
      <c r="A9" s="112" t="str">
        <f aca="false">IFERROR(IF(נתוני_בסיס!$Y$5="","",נתוני_בסיס!$Y$5),"")</f>
        <v/>
      </c>
      <c r="B9" s="113" t="str">
        <f aca="false">IFERROR(IF(A9="","",IF(COUNTIF(T_Consultants[שם יועץ],A9)&gt;0,"יועץ","עובד")),"")</f>
        <v/>
      </c>
      <c r="C9" s="34" t="str">
        <f aca="false">IFERROR(IF(A9="","",IFERROR(INDEX(T_Employees[מחלקה],MATCH(A9,T_Employees[שם],0)),INDEX(T_Consultants[מחלקה],MATCH(A9,T_Consultants[שם יועץ],0)))),"")</f>
        <v/>
      </c>
      <c r="D9" s="114" t="str">
        <f aca="false">IFERROR(IF(A9="","",COUNTIFS(T_Assign[שם],A9,T_Assign[תאריך],"&gt;="&amp;$B$4,T_Assign[תאריך],"&lt;="&amp;$E$4)),0)</f>
        <v/>
      </c>
      <c r="E9" s="114" t="str">
        <f aca="false">IFERROR(IF(A9="","",D9),0)</f>
        <v/>
      </c>
      <c r="F9" s="114" t="str">
        <f aca="false">IFERROR(IF(A9="","",INT(D9/הגדרות!$C$14)),0)</f>
        <v/>
      </c>
      <c r="G9" s="115" t="str">
        <f aca="false">IFERROR(IF(A9="","",minifs(T_Assign[תאריך],T_Assign[שם],A9,T_Assign[תאריך],"&gt;="&amp;$B$4)),"")</f>
        <v/>
      </c>
      <c r="H9" s="115" t="str">
        <f aca="false">IFERROR(IF(A9="","",maxifs(T_Assign[תאריך],T_Assign[שם],A9,T_Assign[תאריך],"&lt;="&amp;$E$4)),"")</f>
        <v/>
      </c>
      <c r="I9" s="45" t="str">
        <f aca="false">IFERROR(IF(A9="","",IF(D9&gt;=הגדרות!$C$14,"⚡ עומס!","✓ תקין")),"")</f>
        <v/>
      </c>
      <c r="J9" s="20" t="str">
        <f aca="false">IFERROR(IF(A9="","",IF(D9&gt;=הגדרות!$C$14,D9&amp;" משמרות — "&amp;TEXT(G9,"DD/MM/YY")&amp;" עד "&amp;TEXT(H9,"DD/MM/YY"),"")),"")</f>
        <v/>
      </c>
    </row>
    <row r="10" customFormat="false" ht="15" hidden="false" customHeight="true" outlineLevel="0" collapsed="false">
      <c r="A10" s="116" t="str">
        <f aca="false">IFERROR(IF(נתוני_בסיס!$Y$6="","",נתוני_בסיס!$Y$6),"")</f>
        <v/>
      </c>
      <c r="B10" s="117" t="str">
        <f aca="false">IFERROR(IF(A10="","",IF(COUNTIF(T_Consultants[שם יועץ],A10)&gt;0,"יועץ","עובד")),"")</f>
        <v/>
      </c>
      <c r="C10" s="118" t="str">
        <f aca="false">IFERROR(IF(A10="","",IFERROR(INDEX(T_Employees[מחלקה],MATCH(A10,T_Employees[שם],0)),INDEX(T_Consultants[מחלקה],MATCH(A10,T_Consultants[שם יועץ],0)))),"")</f>
        <v/>
      </c>
      <c r="D10" s="119" t="str">
        <f aca="false">IFERROR(IF(A10="","",COUNTIFS(T_Assign[שם],A10,T_Assign[תאריך],"&gt;="&amp;$B$4,T_Assign[תאריך],"&lt;="&amp;$E$4)),0)</f>
        <v/>
      </c>
      <c r="E10" s="119" t="str">
        <f aca="false">IFERROR(IF(A10="","",D10),0)</f>
        <v/>
      </c>
      <c r="F10" s="119" t="str">
        <f aca="false">IFERROR(IF(A10="","",INT(D10/הגדרות!$C$14)),0)</f>
        <v/>
      </c>
      <c r="G10" s="120" t="str">
        <f aca="false">IFERROR(IF(A10="","",minifs(T_Assign[תאריך],T_Assign[שם],A10,T_Assign[תאריך],"&gt;="&amp;$B$4)),"")</f>
        <v/>
      </c>
      <c r="H10" s="120" t="str">
        <f aca="false">IFERROR(IF(A10="","",maxifs(T_Assign[תאריך],T_Assign[שם],A10,T_Assign[תאריך],"&lt;="&amp;$E$4)),"")</f>
        <v/>
      </c>
      <c r="I10" s="51" t="str">
        <f aca="false">IFERROR(IF(A10="","",IF(D10&gt;=הגדרות!$C$14,"⚡ עומס!","✓ תקין")),"")</f>
        <v/>
      </c>
      <c r="J10" s="72" t="str">
        <f aca="false">IFERROR(IF(A10="","",IF(D10&gt;=הגדרות!$C$14,D10&amp;" משמרות — "&amp;TEXT(G10,"DD/MM/YY")&amp;" עד "&amp;TEXT(H10,"DD/MM/YY"),"")),"")</f>
        <v/>
      </c>
    </row>
    <row r="11" customFormat="false" ht="15" hidden="false" customHeight="true" outlineLevel="0" collapsed="false">
      <c r="A11" s="112" t="str">
        <f aca="false">IFERROR(IF(נתוני_בסיס!$Y$7="","",נתוני_בסיס!$Y$7),"")</f>
        <v/>
      </c>
      <c r="B11" s="113" t="str">
        <f aca="false">IFERROR(IF(A11="","",IF(COUNTIF(T_Consultants[שם יועץ],A11)&gt;0,"יועץ","עובד")),"")</f>
        <v/>
      </c>
      <c r="C11" s="34" t="str">
        <f aca="false">IFERROR(IF(A11="","",IFERROR(INDEX(T_Employees[מחלקה],MATCH(A11,T_Employees[שם],0)),INDEX(T_Consultants[מחלקה],MATCH(A11,T_Consultants[שם יועץ],0)))),"")</f>
        <v/>
      </c>
      <c r="D11" s="114" t="str">
        <f aca="false">IFERROR(IF(A11="","",COUNTIFS(T_Assign[שם],A11,T_Assign[תאריך],"&gt;="&amp;$B$4,T_Assign[תאריך],"&lt;="&amp;$E$4)),0)</f>
        <v/>
      </c>
      <c r="E11" s="114" t="str">
        <f aca="false">IFERROR(IF(A11="","",D11),0)</f>
        <v/>
      </c>
      <c r="F11" s="114" t="str">
        <f aca="false">IFERROR(IF(A11="","",INT(D11/הגדרות!$C$14)),0)</f>
        <v/>
      </c>
      <c r="G11" s="115" t="str">
        <f aca="false">IFERROR(IF(A11="","",minifs(T_Assign[תאריך],T_Assign[שם],A11,T_Assign[תאריך],"&gt;="&amp;$B$4)),"")</f>
        <v/>
      </c>
      <c r="H11" s="115" t="str">
        <f aca="false">IFERROR(IF(A11="","",maxifs(T_Assign[תאריך],T_Assign[שם],A11,T_Assign[תאריך],"&lt;="&amp;$E$4)),"")</f>
        <v/>
      </c>
      <c r="I11" s="45" t="str">
        <f aca="false">IFERROR(IF(A11="","",IF(D11&gt;=הגדרות!$C$14,"⚡ עומס!","✓ תקין")),"")</f>
        <v/>
      </c>
      <c r="J11" s="20" t="str">
        <f aca="false">IFERROR(IF(A11="","",IF(D11&gt;=הגדרות!$C$14,D11&amp;" משמרות — "&amp;TEXT(G11,"DD/MM/YY")&amp;" עד "&amp;TEXT(H11,"DD/MM/YY"),"")),"")</f>
        <v/>
      </c>
    </row>
    <row r="12" customFormat="false" ht="15" hidden="false" customHeight="true" outlineLevel="0" collapsed="false">
      <c r="A12" s="116" t="str">
        <f aca="false">IFERROR(IF(נתוני_בסיס!$Y$8="","",נתוני_בסיס!$Y$8),"")</f>
        <v/>
      </c>
      <c r="B12" s="117" t="str">
        <f aca="false">IFERROR(IF(A12="","",IF(COUNTIF(T_Consultants[שם יועץ],A12)&gt;0,"יועץ","עובד")),"")</f>
        <v/>
      </c>
      <c r="C12" s="118" t="str">
        <f aca="false">IFERROR(IF(A12="","",IFERROR(INDEX(T_Employees[מחלקה],MATCH(A12,T_Employees[שם],0)),INDEX(T_Consultants[מחלקה],MATCH(A12,T_Consultants[שם יועץ],0)))),"")</f>
        <v/>
      </c>
      <c r="D12" s="119" t="str">
        <f aca="false">IFERROR(IF(A12="","",COUNTIFS(T_Assign[שם],A12,T_Assign[תאריך],"&gt;="&amp;$B$4,T_Assign[תאריך],"&lt;="&amp;$E$4)),0)</f>
        <v/>
      </c>
      <c r="E12" s="119" t="str">
        <f aca="false">IFERROR(IF(A12="","",D12),0)</f>
        <v/>
      </c>
      <c r="F12" s="119" t="str">
        <f aca="false">IFERROR(IF(A12="","",INT(D12/הגדרות!$C$14)),0)</f>
        <v/>
      </c>
      <c r="G12" s="120" t="str">
        <f aca="false">IFERROR(IF(A12="","",minifs(T_Assign[תאריך],T_Assign[שם],A12,T_Assign[תאריך],"&gt;="&amp;$B$4)),"")</f>
        <v/>
      </c>
      <c r="H12" s="120" t="str">
        <f aca="false">IFERROR(IF(A12="","",maxifs(T_Assign[תאריך],T_Assign[שם],A12,T_Assign[תאריך],"&lt;="&amp;$E$4)),"")</f>
        <v/>
      </c>
      <c r="I12" s="51" t="str">
        <f aca="false">IFERROR(IF(A12="","",IF(D12&gt;=הגדרות!$C$14,"⚡ עומס!","✓ תקין")),"")</f>
        <v/>
      </c>
      <c r="J12" s="72" t="str">
        <f aca="false">IFERROR(IF(A12="","",IF(D12&gt;=הגדרות!$C$14,D12&amp;" משמרות — "&amp;TEXT(G12,"DD/MM/YY")&amp;" עד "&amp;TEXT(H12,"DD/MM/YY"),"")),"")</f>
        <v/>
      </c>
    </row>
    <row r="13" customFormat="false" ht="15" hidden="false" customHeight="true" outlineLevel="0" collapsed="false">
      <c r="A13" s="112" t="str">
        <f aca="false">IFERROR(IF(נתוני_בסיס!$Y$9="","",נתוני_בסיס!$Y$9),"")</f>
        <v/>
      </c>
      <c r="B13" s="113" t="str">
        <f aca="false">IFERROR(IF(A13="","",IF(COUNTIF(T_Consultants[שם יועץ],A13)&gt;0,"יועץ","עובד")),"")</f>
        <v/>
      </c>
      <c r="C13" s="34" t="str">
        <f aca="false">IFERROR(IF(A13="","",IFERROR(INDEX(T_Employees[מחלקה],MATCH(A13,T_Employees[שם],0)),INDEX(T_Consultants[מחלקה],MATCH(A13,T_Consultants[שם יועץ],0)))),"")</f>
        <v/>
      </c>
      <c r="D13" s="114" t="str">
        <f aca="false">IFERROR(IF(A13="","",COUNTIFS(T_Assign[שם],A13,T_Assign[תאריך],"&gt;="&amp;$B$4,T_Assign[תאריך],"&lt;="&amp;$E$4)),0)</f>
        <v/>
      </c>
      <c r="E13" s="114" t="str">
        <f aca="false">IFERROR(IF(A13="","",D13),0)</f>
        <v/>
      </c>
      <c r="F13" s="114" t="str">
        <f aca="false">IFERROR(IF(A13="","",INT(D13/הגדרות!$C$14)),0)</f>
        <v/>
      </c>
      <c r="G13" s="115" t="str">
        <f aca="false">IFERROR(IF(A13="","",minifs(T_Assign[תאריך],T_Assign[שם],A13,T_Assign[תאריך],"&gt;="&amp;$B$4)),"")</f>
        <v/>
      </c>
      <c r="H13" s="115" t="str">
        <f aca="false">IFERROR(IF(A13="","",maxifs(T_Assign[תאריך],T_Assign[שם],A13,T_Assign[תאריך],"&lt;="&amp;$E$4)),"")</f>
        <v/>
      </c>
      <c r="I13" s="45" t="str">
        <f aca="false">IFERROR(IF(A13="","",IF(D13&gt;=הגדרות!$C$14,"⚡ עומס!","✓ תקין")),"")</f>
        <v/>
      </c>
      <c r="J13" s="20" t="str">
        <f aca="false">IFERROR(IF(A13="","",IF(D13&gt;=הגדרות!$C$14,D13&amp;" משמרות — "&amp;TEXT(G13,"DD/MM/YY")&amp;" עד "&amp;TEXT(H13,"DD/MM/YY"),"")),"")</f>
        <v/>
      </c>
    </row>
    <row r="14" customFormat="false" ht="15" hidden="false" customHeight="true" outlineLevel="0" collapsed="false">
      <c r="A14" s="116" t="str">
        <f aca="false">IFERROR(IF(נתוני_בסיס!$Y$10="","",נתוני_בסיס!$Y$10),"")</f>
        <v/>
      </c>
      <c r="B14" s="117" t="str">
        <f aca="false">IFERROR(IF(A14="","",IF(COUNTIF(T_Consultants[שם יועץ],A14)&gt;0,"יועץ","עובד")),"")</f>
        <v/>
      </c>
      <c r="C14" s="118" t="str">
        <f aca="false">IFERROR(IF(A14="","",IFERROR(INDEX(T_Employees[מחלקה],MATCH(A14,T_Employees[שם],0)),INDEX(T_Consultants[מחלקה],MATCH(A14,T_Consultants[שם יועץ],0)))),"")</f>
        <v/>
      </c>
      <c r="D14" s="119" t="str">
        <f aca="false">IFERROR(IF(A14="","",COUNTIFS(T_Assign[שם],A14,T_Assign[תאריך],"&gt;="&amp;$B$4,T_Assign[תאריך],"&lt;="&amp;$E$4)),0)</f>
        <v/>
      </c>
      <c r="E14" s="119" t="str">
        <f aca="false">IFERROR(IF(A14="","",D14),0)</f>
        <v/>
      </c>
      <c r="F14" s="119" t="str">
        <f aca="false">IFERROR(IF(A14="","",INT(D14/הגדרות!$C$14)),0)</f>
        <v/>
      </c>
      <c r="G14" s="120" t="str">
        <f aca="false">IFERROR(IF(A14="","",minifs(T_Assign[תאריך],T_Assign[שם],A14,T_Assign[תאריך],"&gt;="&amp;$B$4)),"")</f>
        <v/>
      </c>
      <c r="H14" s="120" t="str">
        <f aca="false">IFERROR(IF(A14="","",maxifs(T_Assign[תאריך],T_Assign[שם],A14,T_Assign[תאריך],"&lt;="&amp;$E$4)),"")</f>
        <v/>
      </c>
      <c r="I14" s="51" t="str">
        <f aca="false">IFERROR(IF(A14="","",IF(D14&gt;=הגדרות!$C$14,"⚡ עומס!","✓ תקין")),"")</f>
        <v/>
      </c>
      <c r="J14" s="72" t="str">
        <f aca="false">IFERROR(IF(A14="","",IF(D14&gt;=הגדרות!$C$14,D14&amp;" משמרות — "&amp;TEXT(G14,"DD/MM/YY")&amp;" עד "&amp;TEXT(H14,"DD/MM/YY"),"")),"")</f>
        <v/>
      </c>
    </row>
    <row r="15" customFormat="false" ht="15" hidden="false" customHeight="true" outlineLevel="0" collapsed="false">
      <c r="A15" s="112" t="str">
        <f aca="false">IFERROR(IF(נתוני_בסיס!$Y$11="","",נתוני_בסיס!$Y$11),"")</f>
        <v/>
      </c>
      <c r="B15" s="113" t="str">
        <f aca="false">IFERROR(IF(A15="","",IF(COUNTIF(T_Consultants[שם יועץ],A15)&gt;0,"יועץ","עובד")),"")</f>
        <v/>
      </c>
      <c r="C15" s="34" t="str">
        <f aca="false">IFERROR(IF(A15="","",IFERROR(INDEX(T_Employees[מחלקה],MATCH(A15,T_Employees[שם],0)),INDEX(T_Consultants[מחלקה],MATCH(A15,T_Consultants[שם יועץ],0)))),"")</f>
        <v/>
      </c>
      <c r="D15" s="114" t="str">
        <f aca="false">IFERROR(IF(A15="","",COUNTIFS(T_Assign[שם],A15,T_Assign[תאריך],"&gt;="&amp;$B$4,T_Assign[תאריך],"&lt;="&amp;$E$4)),0)</f>
        <v/>
      </c>
      <c r="E15" s="114" t="str">
        <f aca="false">IFERROR(IF(A15="","",D15),0)</f>
        <v/>
      </c>
      <c r="F15" s="114" t="str">
        <f aca="false">IFERROR(IF(A15="","",INT(D15/הגדרות!$C$14)),0)</f>
        <v/>
      </c>
      <c r="G15" s="115" t="str">
        <f aca="false">IFERROR(IF(A15="","",minifs(T_Assign[תאריך],T_Assign[שם],A15,T_Assign[תאריך],"&gt;="&amp;$B$4)),"")</f>
        <v/>
      </c>
      <c r="H15" s="115" t="str">
        <f aca="false">IFERROR(IF(A15="","",maxifs(T_Assign[תאריך],T_Assign[שם],A15,T_Assign[תאריך],"&lt;="&amp;$E$4)),"")</f>
        <v/>
      </c>
      <c r="I15" s="45" t="str">
        <f aca="false">IFERROR(IF(A15="","",IF(D15&gt;=הגדרות!$C$14,"⚡ עומס!","✓ תקין")),"")</f>
        <v/>
      </c>
      <c r="J15" s="20" t="str">
        <f aca="false">IFERROR(IF(A15="","",IF(D15&gt;=הגדרות!$C$14,D15&amp;" משמרות — "&amp;TEXT(G15,"DD/MM/YY")&amp;" עד "&amp;TEXT(H15,"DD/MM/YY"),"")),"")</f>
        <v/>
      </c>
    </row>
    <row r="16" customFormat="false" ht="15" hidden="false" customHeight="true" outlineLevel="0" collapsed="false">
      <c r="A16" s="116" t="str">
        <f aca="false">IFERROR(IF(נתוני_בסיס!$Y$12="","",נתוני_בסיס!$Y$12),"")</f>
        <v/>
      </c>
      <c r="B16" s="117" t="str">
        <f aca="false">IFERROR(IF(A16="","",IF(COUNTIF(T_Consultants[שם יועץ],A16)&gt;0,"יועץ","עובד")),"")</f>
        <v/>
      </c>
      <c r="C16" s="118" t="str">
        <f aca="false">IFERROR(IF(A16="","",IFERROR(INDEX(T_Employees[מחלקה],MATCH(A16,T_Employees[שם],0)),INDEX(T_Consultants[מחלקה],MATCH(A16,T_Consultants[שם יועץ],0)))),"")</f>
        <v/>
      </c>
      <c r="D16" s="119" t="str">
        <f aca="false">IFERROR(IF(A16="","",COUNTIFS(T_Assign[שם],A16,T_Assign[תאריך],"&gt;="&amp;$B$4,T_Assign[תאריך],"&lt;="&amp;$E$4)),0)</f>
        <v/>
      </c>
      <c r="E16" s="119" t="str">
        <f aca="false">IFERROR(IF(A16="","",D16),0)</f>
        <v/>
      </c>
      <c r="F16" s="119" t="str">
        <f aca="false">IFERROR(IF(A16="","",INT(D16/הגדרות!$C$14)),0)</f>
        <v/>
      </c>
      <c r="G16" s="120" t="str">
        <f aca="false">IFERROR(IF(A16="","",minifs(T_Assign[תאריך],T_Assign[שם],A16,T_Assign[תאריך],"&gt;="&amp;$B$4)),"")</f>
        <v/>
      </c>
      <c r="H16" s="120" t="str">
        <f aca="false">IFERROR(IF(A16="","",maxifs(T_Assign[תאריך],T_Assign[שם],A16,T_Assign[תאריך],"&lt;="&amp;$E$4)),"")</f>
        <v/>
      </c>
      <c r="I16" s="51" t="str">
        <f aca="false">IFERROR(IF(A16="","",IF(D16&gt;=הגדרות!$C$14,"⚡ עומס!","✓ תקין")),"")</f>
        <v/>
      </c>
      <c r="J16" s="72" t="str">
        <f aca="false">IFERROR(IF(A16="","",IF(D16&gt;=הגדרות!$C$14,D16&amp;" משמרות — "&amp;TEXT(G16,"DD/MM/YY")&amp;" עד "&amp;TEXT(H16,"DD/MM/YY"),"")),"")</f>
        <v/>
      </c>
    </row>
    <row r="17" customFormat="false" ht="15" hidden="false" customHeight="true" outlineLevel="0" collapsed="false">
      <c r="A17" s="112" t="str">
        <f aca="false">IFERROR(IF(נתוני_בסיס!$Y$13="","",נתוני_בסיס!$Y$13),"")</f>
        <v/>
      </c>
      <c r="B17" s="113" t="str">
        <f aca="false">IFERROR(IF(A17="","",IF(COUNTIF(T_Consultants[שם יועץ],A17)&gt;0,"יועץ","עובד")),"")</f>
        <v/>
      </c>
      <c r="C17" s="34" t="str">
        <f aca="false">IFERROR(IF(A17="","",IFERROR(INDEX(T_Employees[מחלקה],MATCH(A17,T_Employees[שם],0)),INDEX(T_Consultants[מחלקה],MATCH(A17,T_Consultants[שם יועץ],0)))),"")</f>
        <v/>
      </c>
      <c r="D17" s="114" t="str">
        <f aca="false">IFERROR(IF(A17="","",COUNTIFS(T_Assign[שם],A17,T_Assign[תאריך],"&gt;="&amp;$B$4,T_Assign[תאריך],"&lt;="&amp;$E$4)),0)</f>
        <v/>
      </c>
      <c r="E17" s="114" t="str">
        <f aca="false">IFERROR(IF(A17="","",D17),0)</f>
        <v/>
      </c>
      <c r="F17" s="114" t="str">
        <f aca="false">IFERROR(IF(A17="","",INT(D17/הגדרות!$C$14)),0)</f>
        <v/>
      </c>
      <c r="G17" s="115" t="str">
        <f aca="false">IFERROR(IF(A17="","",minifs(T_Assign[תאריך],T_Assign[שם],A17,T_Assign[תאריך],"&gt;="&amp;$B$4)),"")</f>
        <v/>
      </c>
      <c r="H17" s="115" t="str">
        <f aca="false">IFERROR(IF(A17="","",maxifs(T_Assign[תאריך],T_Assign[שם],A17,T_Assign[תאריך],"&lt;="&amp;$E$4)),"")</f>
        <v/>
      </c>
      <c r="I17" s="45" t="str">
        <f aca="false">IFERROR(IF(A17="","",IF(D17&gt;=הגדרות!$C$14,"⚡ עומס!","✓ תקין")),"")</f>
        <v/>
      </c>
      <c r="J17" s="20" t="str">
        <f aca="false">IFERROR(IF(A17="","",IF(D17&gt;=הגדרות!$C$14,D17&amp;" משמרות — "&amp;TEXT(G17,"DD/MM/YY")&amp;" עד "&amp;TEXT(H17,"DD/MM/YY"),"")),"")</f>
        <v/>
      </c>
    </row>
    <row r="18" customFormat="false" ht="15" hidden="false" customHeight="true" outlineLevel="0" collapsed="false">
      <c r="A18" s="116" t="str">
        <f aca="false">IFERROR(IF(נתוני_בסיס!$Y$14="","",נתוני_בסיס!$Y$14),"")</f>
        <v/>
      </c>
      <c r="B18" s="117" t="str">
        <f aca="false">IFERROR(IF(A18="","",IF(COUNTIF(T_Consultants[שם יועץ],A18)&gt;0,"יועץ","עובד")),"")</f>
        <v/>
      </c>
      <c r="C18" s="118" t="str">
        <f aca="false">IFERROR(IF(A18="","",IFERROR(INDEX(T_Employees[מחלקה],MATCH(A18,T_Employees[שם],0)),INDEX(T_Consultants[מחלקה],MATCH(A18,T_Consultants[שם יועץ],0)))),"")</f>
        <v/>
      </c>
      <c r="D18" s="119" t="str">
        <f aca="false">IFERROR(IF(A18="","",COUNTIFS(T_Assign[שם],A18,T_Assign[תאריך],"&gt;="&amp;$B$4,T_Assign[תאריך],"&lt;="&amp;$E$4)),0)</f>
        <v/>
      </c>
      <c r="E18" s="119" t="str">
        <f aca="false">IFERROR(IF(A18="","",D18),0)</f>
        <v/>
      </c>
      <c r="F18" s="119" t="str">
        <f aca="false">IFERROR(IF(A18="","",INT(D18/הגדרות!$C$14)),0)</f>
        <v/>
      </c>
      <c r="G18" s="120" t="str">
        <f aca="false">IFERROR(IF(A18="","",minifs(T_Assign[תאריך],T_Assign[שם],A18,T_Assign[תאריך],"&gt;="&amp;$B$4)),"")</f>
        <v/>
      </c>
      <c r="H18" s="120" t="str">
        <f aca="false">IFERROR(IF(A18="","",maxifs(T_Assign[תאריך],T_Assign[שם],A18,T_Assign[תאריך],"&lt;="&amp;$E$4)),"")</f>
        <v/>
      </c>
      <c r="I18" s="51" t="str">
        <f aca="false">IFERROR(IF(A18="","",IF(D18&gt;=הגדרות!$C$14,"⚡ עומס!","✓ תקין")),"")</f>
        <v/>
      </c>
      <c r="J18" s="72" t="str">
        <f aca="false">IFERROR(IF(A18="","",IF(D18&gt;=הגדרות!$C$14,D18&amp;" משמרות — "&amp;TEXT(G18,"DD/MM/YY")&amp;" עד "&amp;TEXT(H18,"DD/MM/YY"),"")),"")</f>
        <v/>
      </c>
    </row>
    <row r="19" customFormat="false" ht="15" hidden="false" customHeight="true" outlineLevel="0" collapsed="false">
      <c r="A19" s="112" t="str">
        <f aca="false">IFERROR(IF(נתוני_בסיס!$Y$15="","",נתוני_בסיס!$Y$15),"")</f>
        <v/>
      </c>
      <c r="B19" s="113" t="str">
        <f aca="false">IFERROR(IF(A19="","",IF(COUNTIF(T_Consultants[שם יועץ],A19)&gt;0,"יועץ","עובד")),"")</f>
        <v/>
      </c>
      <c r="C19" s="34" t="str">
        <f aca="false">IFERROR(IF(A19="","",IFERROR(INDEX(T_Employees[מחלקה],MATCH(A19,T_Employees[שם],0)),INDEX(T_Consultants[מחלקה],MATCH(A19,T_Consultants[שם יועץ],0)))),"")</f>
        <v/>
      </c>
      <c r="D19" s="114" t="str">
        <f aca="false">IFERROR(IF(A19="","",COUNTIFS(T_Assign[שם],A19,T_Assign[תאריך],"&gt;="&amp;$B$4,T_Assign[תאריך],"&lt;="&amp;$E$4)),0)</f>
        <v/>
      </c>
      <c r="E19" s="114" t="str">
        <f aca="false">IFERROR(IF(A19="","",D19),0)</f>
        <v/>
      </c>
      <c r="F19" s="114" t="str">
        <f aca="false">IFERROR(IF(A19="","",INT(D19/הגדרות!$C$14)),0)</f>
        <v/>
      </c>
      <c r="G19" s="115" t="str">
        <f aca="false">IFERROR(IF(A19="","",minifs(T_Assign[תאריך],T_Assign[שם],A19,T_Assign[תאריך],"&gt;="&amp;$B$4)),"")</f>
        <v/>
      </c>
      <c r="H19" s="115" t="str">
        <f aca="false">IFERROR(IF(A19="","",maxifs(T_Assign[תאריך],T_Assign[שם],A19,T_Assign[תאריך],"&lt;="&amp;$E$4)),"")</f>
        <v/>
      </c>
      <c r="I19" s="45" t="str">
        <f aca="false">IFERROR(IF(A19="","",IF(D19&gt;=הגדרות!$C$14,"⚡ עומס!","✓ תקין")),"")</f>
        <v/>
      </c>
      <c r="J19" s="20" t="str">
        <f aca="false">IFERROR(IF(A19="","",IF(D19&gt;=הגדרות!$C$14,D19&amp;" משמרות — "&amp;TEXT(G19,"DD/MM/YY")&amp;" עד "&amp;TEXT(H19,"DD/MM/YY"),"")),"")</f>
        <v/>
      </c>
    </row>
    <row r="20" customFormat="false" ht="15" hidden="false" customHeight="true" outlineLevel="0" collapsed="false">
      <c r="A20" s="116" t="str">
        <f aca="false">IFERROR(IF(נתוני_בסיס!$Y$16="","",נתוני_בסיס!$Y$16),"")</f>
        <v/>
      </c>
      <c r="B20" s="117" t="str">
        <f aca="false">IFERROR(IF(A20="","",IF(COUNTIF(T_Consultants[שם יועץ],A20)&gt;0,"יועץ","עובד")),"")</f>
        <v/>
      </c>
      <c r="C20" s="118" t="str">
        <f aca="false">IFERROR(IF(A20="","",IFERROR(INDEX(T_Employees[מחלקה],MATCH(A20,T_Employees[שם],0)),INDEX(T_Consultants[מחלקה],MATCH(A20,T_Consultants[שם יועץ],0)))),"")</f>
        <v/>
      </c>
      <c r="D20" s="119" t="str">
        <f aca="false">IFERROR(IF(A20="","",COUNTIFS(T_Assign[שם],A20,T_Assign[תאריך],"&gt;="&amp;$B$4,T_Assign[תאריך],"&lt;="&amp;$E$4)),0)</f>
        <v/>
      </c>
      <c r="E20" s="119" t="str">
        <f aca="false">IFERROR(IF(A20="","",D20),0)</f>
        <v/>
      </c>
      <c r="F20" s="119" t="str">
        <f aca="false">IFERROR(IF(A20="","",INT(D20/הגדרות!$C$14)),0)</f>
        <v/>
      </c>
      <c r="G20" s="120" t="str">
        <f aca="false">IFERROR(IF(A20="","",minifs(T_Assign[תאריך],T_Assign[שם],A20,T_Assign[תאריך],"&gt;="&amp;$B$4)),"")</f>
        <v/>
      </c>
      <c r="H20" s="120" t="str">
        <f aca="false">IFERROR(IF(A20="","",maxifs(T_Assign[תאריך],T_Assign[שם],A20,T_Assign[תאריך],"&lt;="&amp;$E$4)),"")</f>
        <v/>
      </c>
      <c r="I20" s="51" t="str">
        <f aca="false">IFERROR(IF(A20="","",IF(D20&gt;=הגדרות!$C$14,"⚡ עומס!","✓ תקין")),"")</f>
        <v/>
      </c>
      <c r="J20" s="72" t="str">
        <f aca="false">IFERROR(IF(A20="","",IF(D20&gt;=הגדרות!$C$14,D20&amp;" משמרות — "&amp;TEXT(G20,"DD/MM/YY")&amp;" עד "&amp;TEXT(H20,"DD/MM/YY"),"")),"")</f>
        <v/>
      </c>
    </row>
    <row r="21" customFormat="false" ht="15" hidden="false" customHeight="true" outlineLevel="0" collapsed="false">
      <c r="A21" s="112" t="str">
        <f aca="false">IFERROR(IF(נתוני_בסיס!$Y$17="","",נתוני_בסיס!$Y$17),"")</f>
        <v/>
      </c>
      <c r="B21" s="113" t="str">
        <f aca="false">IFERROR(IF(A21="","",IF(COUNTIF(T_Consultants[שם יועץ],A21)&gt;0,"יועץ","עובד")),"")</f>
        <v/>
      </c>
      <c r="C21" s="34" t="str">
        <f aca="false">IFERROR(IF(A21="","",IFERROR(INDEX(T_Employees[מחלקה],MATCH(A21,T_Employees[שם],0)),INDEX(T_Consultants[מחלקה],MATCH(A21,T_Consultants[שם יועץ],0)))),"")</f>
        <v/>
      </c>
      <c r="D21" s="114" t="str">
        <f aca="false">IFERROR(IF(A21="","",COUNTIFS(T_Assign[שם],A21,T_Assign[תאריך],"&gt;="&amp;$B$4,T_Assign[תאריך],"&lt;="&amp;$E$4)),0)</f>
        <v/>
      </c>
      <c r="E21" s="114" t="str">
        <f aca="false">IFERROR(IF(A21="","",D21),0)</f>
        <v/>
      </c>
      <c r="F21" s="114" t="str">
        <f aca="false">IFERROR(IF(A21="","",INT(D21/הגדרות!$C$14)),0)</f>
        <v/>
      </c>
      <c r="G21" s="115" t="str">
        <f aca="false">IFERROR(IF(A21="","",minifs(T_Assign[תאריך],T_Assign[שם],A21,T_Assign[תאריך],"&gt;="&amp;$B$4)),"")</f>
        <v/>
      </c>
      <c r="H21" s="115" t="str">
        <f aca="false">IFERROR(IF(A21="","",maxifs(T_Assign[תאריך],T_Assign[שם],A21,T_Assign[תאריך],"&lt;="&amp;$E$4)),"")</f>
        <v/>
      </c>
      <c r="I21" s="45" t="str">
        <f aca="false">IFERROR(IF(A21="","",IF(D21&gt;=הגדרות!$C$14,"⚡ עומס!","✓ תקין")),"")</f>
        <v/>
      </c>
      <c r="J21" s="20" t="str">
        <f aca="false">IFERROR(IF(A21="","",IF(D21&gt;=הגדרות!$C$14,D21&amp;" משמרות — "&amp;TEXT(G21,"DD/MM/YY")&amp;" עד "&amp;TEXT(H21,"DD/MM/YY"),"")),"")</f>
        <v/>
      </c>
    </row>
    <row r="22" customFormat="false" ht="15" hidden="false" customHeight="true" outlineLevel="0" collapsed="false">
      <c r="A22" s="116" t="str">
        <f aca="false">IFERROR(IF(נתוני_בסיס!$Y$18="","",נתוני_בסיס!$Y$18),"")</f>
        <v/>
      </c>
      <c r="B22" s="117" t="str">
        <f aca="false">IFERROR(IF(A22="","",IF(COUNTIF(T_Consultants[שם יועץ],A22)&gt;0,"יועץ","עובד")),"")</f>
        <v/>
      </c>
      <c r="C22" s="118" t="str">
        <f aca="false">IFERROR(IF(A22="","",IFERROR(INDEX(T_Employees[מחלקה],MATCH(A22,T_Employees[שם],0)),INDEX(T_Consultants[מחלקה],MATCH(A22,T_Consultants[שם יועץ],0)))),"")</f>
        <v/>
      </c>
      <c r="D22" s="119" t="str">
        <f aca="false">IFERROR(IF(A22="","",COUNTIFS(T_Assign[שם],A22,T_Assign[תאריך],"&gt;="&amp;$B$4,T_Assign[תאריך],"&lt;="&amp;$E$4)),0)</f>
        <v/>
      </c>
      <c r="E22" s="119" t="str">
        <f aca="false">IFERROR(IF(A22="","",D22),0)</f>
        <v/>
      </c>
      <c r="F22" s="119" t="str">
        <f aca="false">IFERROR(IF(A22="","",INT(D22/הגדרות!$C$14)),0)</f>
        <v/>
      </c>
      <c r="G22" s="120" t="str">
        <f aca="false">IFERROR(IF(A22="","",minifs(T_Assign[תאריך],T_Assign[שם],A22,T_Assign[תאריך],"&gt;="&amp;$B$4)),"")</f>
        <v/>
      </c>
      <c r="H22" s="120" t="str">
        <f aca="false">IFERROR(IF(A22="","",maxifs(T_Assign[תאריך],T_Assign[שם],A22,T_Assign[תאריך],"&lt;="&amp;$E$4)),"")</f>
        <v/>
      </c>
      <c r="I22" s="51" t="str">
        <f aca="false">IFERROR(IF(A22="","",IF(D22&gt;=הגדרות!$C$14,"⚡ עומס!","✓ תקין")),"")</f>
        <v/>
      </c>
      <c r="J22" s="72" t="str">
        <f aca="false">IFERROR(IF(A22="","",IF(D22&gt;=הגדרות!$C$14,D22&amp;" משמרות — "&amp;TEXT(G22,"DD/MM/YY")&amp;" עד "&amp;TEXT(H22,"DD/MM/YY"),"")),"")</f>
        <v/>
      </c>
    </row>
    <row r="23" customFormat="false" ht="15" hidden="false" customHeight="true" outlineLevel="0" collapsed="false">
      <c r="A23" s="112" t="str">
        <f aca="false">IFERROR(IF(נתוני_בסיס!$Y$19="","",נתוני_בסיס!$Y$19),"")</f>
        <v/>
      </c>
      <c r="B23" s="113" t="str">
        <f aca="false">IFERROR(IF(A23="","",IF(COUNTIF(T_Consultants[שם יועץ],A23)&gt;0,"יועץ","עובד")),"")</f>
        <v/>
      </c>
      <c r="C23" s="34" t="str">
        <f aca="false">IFERROR(IF(A23="","",IFERROR(INDEX(T_Employees[מחלקה],MATCH(A23,T_Employees[שם],0)),INDEX(T_Consultants[מחלקה],MATCH(A23,T_Consultants[שם יועץ],0)))),"")</f>
        <v/>
      </c>
      <c r="D23" s="114" t="str">
        <f aca="false">IFERROR(IF(A23="","",COUNTIFS(T_Assign[שם],A23,T_Assign[תאריך],"&gt;="&amp;$B$4,T_Assign[תאריך],"&lt;="&amp;$E$4)),0)</f>
        <v/>
      </c>
      <c r="E23" s="114" t="str">
        <f aca="false">IFERROR(IF(A23="","",D23),0)</f>
        <v/>
      </c>
      <c r="F23" s="114" t="str">
        <f aca="false">IFERROR(IF(A23="","",INT(D23/הגדרות!$C$14)),0)</f>
        <v/>
      </c>
      <c r="G23" s="115" t="str">
        <f aca="false">IFERROR(IF(A23="","",minifs(T_Assign[תאריך],T_Assign[שם],A23,T_Assign[תאריך],"&gt;="&amp;$B$4)),"")</f>
        <v/>
      </c>
      <c r="H23" s="115" t="str">
        <f aca="false">IFERROR(IF(A23="","",maxifs(T_Assign[תאריך],T_Assign[שם],A23,T_Assign[תאריך],"&lt;="&amp;$E$4)),"")</f>
        <v/>
      </c>
      <c r="I23" s="45" t="str">
        <f aca="false">IFERROR(IF(A23="","",IF(D23&gt;=הגדרות!$C$14,"⚡ עומס!","✓ תקין")),"")</f>
        <v/>
      </c>
      <c r="J23" s="20" t="str">
        <f aca="false">IFERROR(IF(A23="","",IF(D23&gt;=הגדרות!$C$14,D23&amp;" משמרות — "&amp;TEXT(G23,"DD/MM/YY")&amp;" עד "&amp;TEXT(H23,"DD/MM/YY"),"")),"")</f>
        <v/>
      </c>
    </row>
    <row r="24" customFormat="false" ht="15" hidden="false" customHeight="true" outlineLevel="0" collapsed="false">
      <c r="A24" s="116" t="str">
        <f aca="false">IFERROR(IF(נתוני_בסיס!$Y$20="","",נתוני_בסיס!$Y$20),"")</f>
        <v/>
      </c>
      <c r="B24" s="117" t="str">
        <f aca="false">IFERROR(IF(A24="","",IF(COUNTIF(T_Consultants[שם יועץ],A24)&gt;0,"יועץ","עובד")),"")</f>
        <v/>
      </c>
      <c r="C24" s="118" t="str">
        <f aca="false">IFERROR(IF(A24="","",IFERROR(INDEX(T_Employees[מחלקה],MATCH(A24,T_Employees[שם],0)),INDEX(T_Consultants[מחלקה],MATCH(A24,T_Consultants[שם יועץ],0)))),"")</f>
        <v/>
      </c>
      <c r="D24" s="119" t="str">
        <f aca="false">IFERROR(IF(A24="","",COUNTIFS(T_Assign[שם],A24,T_Assign[תאריך],"&gt;="&amp;$B$4,T_Assign[תאריך],"&lt;="&amp;$E$4)),0)</f>
        <v/>
      </c>
      <c r="E24" s="119" t="str">
        <f aca="false">IFERROR(IF(A24="","",D24),0)</f>
        <v/>
      </c>
      <c r="F24" s="119" t="str">
        <f aca="false">IFERROR(IF(A24="","",INT(D24/הגדרות!$C$14)),0)</f>
        <v/>
      </c>
      <c r="G24" s="120" t="str">
        <f aca="false">IFERROR(IF(A24="","",minifs(T_Assign[תאריך],T_Assign[שם],A24,T_Assign[תאריך],"&gt;="&amp;$B$4)),"")</f>
        <v/>
      </c>
      <c r="H24" s="120" t="str">
        <f aca="false">IFERROR(IF(A24="","",maxifs(T_Assign[תאריך],T_Assign[שם],A24,T_Assign[תאריך],"&lt;="&amp;$E$4)),"")</f>
        <v/>
      </c>
      <c r="I24" s="51" t="str">
        <f aca="false">IFERROR(IF(A24="","",IF(D24&gt;=הגדרות!$C$14,"⚡ עומס!","✓ תקין")),"")</f>
        <v/>
      </c>
      <c r="J24" s="72" t="str">
        <f aca="false">IFERROR(IF(A24="","",IF(D24&gt;=הגדרות!$C$14,D24&amp;" משמרות — "&amp;TEXT(G24,"DD/MM/YY")&amp;" עד "&amp;TEXT(H24,"DD/MM/YY"),"")),"")</f>
        <v/>
      </c>
    </row>
    <row r="25" customFormat="false" ht="15" hidden="false" customHeight="true" outlineLevel="0" collapsed="false">
      <c r="A25" s="112" t="str">
        <f aca="false">IFERROR(IF(נתוני_בסיס!$Y$21="","",נתוני_בסיס!$Y$21),"")</f>
        <v/>
      </c>
      <c r="B25" s="113" t="str">
        <f aca="false">IFERROR(IF(A25="","",IF(COUNTIF(T_Consultants[שם יועץ],A25)&gt;0,"יועץ","עובד")),"")</f>
        <v/>
      </c>
      <c r="C25" s="34" t="str">
        <f aca="false">IFERROR(IF(A25="","",IFERROR(INDEX(T_Employees[מחלקה],MATCH(A25,T_Employees[שם],0)),INDEX(T_Consultants[מחלקה],MATCH(A25,T_Consultants[שם יועץ],0)))),"")</f>
        <v/>
      </c>
      <c r="D25" s="114" t="str">
        <f aca="false">IFERROR(IF(A25="","",COUNTIFS(T_Assign[שם],A25,T_Assign[תאריך],"&gt;="&amp;$B$4,T_Assign[תאריך],"&lt;="&amp;$E$4)),0)</f>
        <v/>
      </c>
      <c r="E25" s="114" t="str">
        <f aca="false">IFERROR(IF(A25="","",D25),0)</f>
        <v/>
      </c>
      <c r="F25" s="114" t="str">
        <f aca="false">IFERROR(IF(A25="","",INT(D25/הגדרות!$C$14)),0)</f>
        <v/>
      </c>
      <c r="G25" s="115" t="str">
        <f aca="false">IFERROR(IF(A25="","",minifs(T_Assign[תאריך],T_Assign[שם],A25,T_Assign[תאריך],"&gt;="&amp;$B$4)),"")</f>
        <v/>
      </c>
      <c r="H25" s="115" t="str">
        <f aca="false">IFERROR(IF(A25="","",maxifs(T_Assign[תאריך],T_Assign[שם],A25,T_Assign[תאריך],"&lt;="&amp;$E$4)),"")</f>
        <v/>
      </c>
      <c r="I25" s="45" t="str">
        <f aca="false">IFERROR(IF(A25="","",IF(D25&gt;=הגדרות!$C$14,"⚡ עומס!","✓ תקין")),"")</f>
        <v/>
      </c>
      <c r="J25" s="20" t="str">
        <f aca="false">IFERROR(IF(A25="","",IF(D25&gt;=הגדרות!$C$14,D25&amp;" משמרות — "&amp;TEXT(G25,"DD/MM/YY")&amp;" עד "&amp;TEXT(H25,"DD/MM/YY"),"")),"")</f>
        <v/>
      </c>
    </row>
    <row r="26" customFormat="false" ht="15" hidden="false" customHeight="true" outlineLevel="0" collapsed="false">
      <c r="A26" s="116" t="str">
        <f aca="false">IFERROR(IF(נתוני_בסיס!$Y$22="","",נתוני_בסיס!$Y$22),"")</f>
        <v/>
      </c>
      <c r="B26" s="117" t="str">
        <f aca="false">IFERROR(IF(A26="","",IF(COUNTIF(T_Consultants[שם יועץ],A26)&gt;0,"יועץ","עובד")),"")</f>
        <v/>
      </c>
      <c r="C26" s="118" t="str">
        <f aca="false">IFERROR(IF(A26="","",IFERROR(INDEX(T_Employees[מחלקה],MATCH(A26,T_Employees[שם],0)),INDEX(T_Consultants[מחלקה],MATCH(A26,T_Consultants[שם יועץ],0)))),"")</f>
        <v/>
      </c>
      <c r="D26" s="119" t="str">
        <f aca="false">IFERROR(IF(A26="","",COUNTIFS(T_Assign[שם],A26,T_Assign[תאריך],"&gt;="&amp;$B$4,T_Assign[תאריך],"&lt;="&amp;$E$4)),0)</f>
        <v/>
      </c>
      <c r="E26" s="119" t="str">
        <f aca="false">IFERROR(IF(A26="","",D26),0)</f>
        <v/>
      </c>
      <c r="F26" s="119" t="str">
        <f aca="false">IFERROR(IF(A26="","",INT(D26/הגדרות!$C$14)),0)</f>
        <v/>
      </c>
      <c r="G26" s="120" t="str">
        <f aca="false">IFERROR(IF(A26="","",minifs(T_Assign[תאריך],T_Assign[שם],A26,T_Assign[תאריך],"&gt;="&amp;$B$4)),"")</f>
        <v/>
      </c>
      <c r="H26" s="120" t="str">
        <f aca="false">IFERROR(IF(A26="","",maxifs(T_Assign[תאריך],T_Assign[שם],A26,T_Assign[תאריך],"&lt;="&amp;$E$4)),"")</f>
        <v/>
      </c>
      <c r="I26" s="51" t="str">
        <f aca="false">IFERROR(IF(A26="","",IF(D26&gt;=הגדרות!$C$14,"⚡ עומס!","✓ תקין")),"")</f>
        <v/>
      </c>
      <c r="J26" s="72" t="str">
        <f aca="false">IFERROR(IF(A26="","",IF(D26&gt;=הגדרות!$C$14,D26&amp;" משמרות — "&amp;TEXT(G26,"DD/MM/YY")&amp;" עד "&amp;TEXT(H26,"DD/MM/YY"),"")),"")</f>
        <v/>
      </c>
    </row>
    <row r="27" customFormat="false" ht="15" hidden="false" customHeight="true" outlineLevel="0" collapsed="false">
      <c r="A27" s="112" t="str">
        <f aca="false">IFERROR(IF(נתוני_בסיס!$Y$23="","",נתוני_בסיס!$Y$23),"")</f>
        <v/>
      </c>
      <c r="B27" s="113" t="str">
        <f aca="false">IFERROR(IF(A27="","",IF(COUNTIF(T_Consultants[שם יועץ],A27)&gt;0,"יועץ","עובד")),"")</f>
        <v/>
      </c>
      <c r="C27" s="34" t="str">
        <f aca="false">IFERROR(IF(A27="","",IFERROR(INDEX(T_Employees[מחלקה],MATCH(A27,T_Employees[שם],0)),INDEX(T_Consultants[מחלקה],MATCH(A27,T_Consultants[שם יועץ],0)))),"")</f>
        <v/>
      </c>
      <c r="D27" s="114" t="str">
        <f aca="false">IFERROR(IF(A27="","",COUNTIFS(T_Assign[שם],A27,T_Assign[תאריך],"&gt;="&amp;$B$4,T_Assign[תאריך],"&lt;="&amp;$E$4)),0)</f>
        <v/>
      </c>
      <c r="E27" s="114" t="str">
        <f aca="false">IFERROR(IF(A27="","",D27),0)</f>
        <v/>
      </c>
      <c r="F27" s="114" t="str">
        <f aca="false">IFERROR(IF(A27="","",INT(D27/הגדרות!$C$14)),0)</f>
        <v/>
      </c>
      <c r="G27" s="115" t="str">
        <f aca="false">IFERROR(IF(A27="","",minifs(T_Assign[תאריך],T_Assign[שם],A27,T_Assign[תאריך],"&gt;="&amp;$B$4)),"")</f>
        <v/>
      </c>
      <c r="H27" s="115" t="str">
        <f aca="false">IFERROR(IF(A27="","",maxifs(T_Assign[תאריך],T_Assign[שם],A27,T_Assign[תאריך],"&lt;="&amp;$E$4)),"")</f>
        <v/>
      </c>
      <c r="I27" s="45" t="str">
        <f aca="false">IFERROR(IF(A27="","",IF(D27&gt;=הגדרות!$C$14,"⚡ עומס!","✓ תקין")),"")</f>
        <v/>
      </c>
      <c r="J27" s="20" t="str">
        <f aca="false">IFERROR(IF(A27="","",IF(D27&gt;=הגדרות!$C$14,D27&amp;" משמרות — "&amp;TEXT(G27,"DD/MM/YY")&amp;" עד "&amp;TEXT(H27,"DD/MM/YY"),"")),"")</f>
        <v/>
      </c>
    </row>
    <row r="28" customFormat="false" ht="15" hidden="false" customHeight="true" outlineLevel="0" collapsed="false">
      <c r="A28" s="116" t="str">
        <f aca="false">IFERROR(IF(נתוני_בסיס!$Y$24="","",נתוני_בסיס!$Y$24),"")</f>
        <v/>
      </c>
      <c r="B28" s="117" t="str">
        <f aca="false">IFERROR(IF(A28="","",IF(COUNTIF(T_Consultants[שם יועץ],A28)&gt;0,"יועץ","עובד")),"")</f>
        <v/>
      </c>
      <c r="C28" s="118" t="str">
        <f aca="false">IFERROR(IF(A28="","",IFERROR(INDEX(T_Employees[מחלקה],MATCH(A28,T_Employees[שם],0)),INDEX(T_Consultants[מחלקה],MATCH(A28,T_Consultants[שם יועץ],0)))),"")</f>
        <v/>
      </c>
      <c r="D28" s="119" t="str">
        <f aca="false">IFERROR(IF(A28="","",COUNTIFS(T_Assign[שם],A28,T_Assign[תאריך],"&gt;="&amp;$B$4,T_Assign[תאריך],"&lt;="&amp;$E$4)),0)</f>
        <v/>
      </c>
      <c r="E28" s="119" t="str">
        <f aca="false">IFERROR(IF(A28="","",D28),0)</f>
        <v/>
      </c>
      <c r="F28" s="119" t="str">
        <f aca="false">IFERROR(IF(A28="","",INT(D28/הגדרות!$C$14)),0)</f>
        <v/>
      </c>
      <c r="G28" s="120" t="str">
        <f aca="false">IFERROR(IF(A28="","",minifs(T_Assign[תאריך],T_Assign[שם],A28,T_Assign[תאריך],"&gt;="&amp;$B$4)),"")</f>
        <v/>
      </c>
      <c r="H28" s="120" t="str">
        <f aca="false">IFERROR(IF(A28="","",maxifs(T_Assign[תאריך],T_Assign[שם],A28,T_Assign[תאריך],"&lt;="&amp;$E$4)),"")</f>
        <v/>
      </c>
      <c r="I28" s="51" t="str">
        <f aca="false">IFERROR(IF(A28="","",IF(D28&gt;=הגדרות!$C$14,"⚡ עומס!","✓ תקין")),"")</f>
        <v/>
      </c>
      <c r="J28" s="72" t="str">
        <f aca="false">IFERROR(IF(A28="","",IF(D28&gt;=הגדרות!$C$14,D28&amp;" משמרות — "&amp;TEXT(G28,"DD/MM/YY")&amp;" עד "&amp;TEXT(H28,"DD/MM/YY"),"")),"")</f>
        <v/>
      </c>
    </row>
    <row r="29" customFormat="false" ht="15" hidden="false" customHeight="true" outlineLevel="0" collapsed="false">
      <c r="A29" s="112" t="str">
        <f aca="false">IFERROR(IF(נתוני_בסיס!$Y$25="","",נתוני_בסיס!$Y$25),"")</f>
        <v/>
      </c>
      <c r="B29" s="113" t="str">
        <f aca="false">IFERROR(IF(A29="","",IF(COUNTIF(T_Consultants[שם יועץ],A29)&gt;0,"יועץ","עובד")),"")</f>
        <v/>
      </c>
      <c r="C29" s="34" t="str">
        <f aca="false">IFERROR(IF(A29="","",IFERROR(INDEX(T_Employees[מחלקה],MATCH(A29,T_Employees[שם],0)),INDEX(T_Consultants[מחלקה],MATCH(A29,T_Consultants[שם יועץ],0)))),"")</f>
        <v/>
      </c>
      <c r="D29" s="114" t="str">
        <f aca="false">IFERROR(IF(A29="","",COUNTIFS(T_Assign[שם],A29,T_Assign[תאריך],"&gt;="&amp;$B$4,T_Assign[תאריך],"&lt;="&amp;$E$4)),0)</f>
        <v/>
      </c>
      <c r="E29" s="114" t="str">
        <f aca="false">IFERROR(IF(A29="","",D29),0)</f>
        <v/>
      </c>
      <c r="F29" s="114" t="str">
        <f aca="false">IFERROR(IF(A29="","",INT(D29/הגדרות!$C$14)),0)</f>
        <v/>
      </c>
      <c r="G29" s="115" t="str">
        <f aca="false">IFERROR(IF(A29="","",minifs(T_Assign[תאריך],T_Assign[שם],A29,T_Assign[תאריך],"&gt;="&amp;$B$4)),"")</f>
        <v/>
      </c>
      <c r="H29" s="115" t="str">
        <f aca="false">IFERROR(IF(A29="","",maxifs(T_Assign[תאריך],T_Assign[שם],A29,T_Assign[תאריך],"&lt;="&amp;$E$4)),"")</f>
        <v/>
      </c>
      <c r="I29" s="45" t="str">
        <f aca="false">IFERROR(IF(A29="","",IF(D29&gt;=הגדרות!$C$14,"⚡ עומס!","✓ תקין")),"")</f>
        <v/>
      </c>
      <c r="J29" s="20" t="str">
        <f aca="false">IFERROR(IF(A29="","",IF(D29&gt;=הגדרות!$C$14,D29&amp;" משמרות — "&amp;TEXT(G29,"DD/MM/YY")&amp;" עד "&amp;TEXT(H29,"DD/MM/YY"),"")),"")</f>
        <v/>
      </c>
    </row>
    <row r="30" customFormat="false" ht="15" hidden="false" customHeight="true" outlineLevel="0" collapsed="false">
      <c r="A30" s="116" t="str">
        <f aca="false">IFERROR(IF(נתוני_בסיס!$Y$26="","",נתוני_בסיס!$Y$26),"")</f>
        <v/>
      </c>
      <c r="B30" s="117" t="str">
        <f aca="false">IFERROR(IF(A30="","",IF(COUNTIF(T_Consultants[שם יועץ],A30)&gt;0,"יועץ","עובד")),"")</f>
        <v/>
      </c>
      <c r="C30" s="118" t="str">
        <f aca="false">IFERROR(IF(A30="","",IFERROR(INDEX(T_Employees[מחלקה],MATCH(A30,T_Employees[שם],0)),INDEX(T_Consultants[מחלקה],MATCH(A30,T_Consultants[שם יועץ],0)))),"")</f>
        <v/>
      </c>
      <c r="D30" s="119" t="str">
        <f aca="false">IFERROR(IF(A30="","",COUNTIFS(T_Assign[שם],A30,T_Assign[תאריך],"&gt;="&amp;$B$4,T_Assign[תאריך],"&lt;="&amp;$E$4)),0)</f>
        <v/>
      </c>
      <c r="E30" s="119" t="str">
        <f aca="false">IFERROR(IF(A30="","",D30),0)</f>
        <v/>
      </c>
      <c r="F30" s="119" t="str">
        <f aca="false">IFERROR(IF(A30="","",INT(D30/הגדרות!$C$14)),0)</f>
        <v/>
      </c>
      <c r="G30" s="120" t="str">
        <f aca="false">IFERROR(IF(A30="","",minifs(T_Assign[תאריך],T_Assign[שם],A30,T_Assign[תאריך],"&gt;="&amp;$B$4)),"")</f>
        <v/>
      </c>
      <c r="H30" s="120" t="str">
        <f aca="false">IFERROR(IF(A30="","",maxifs(T_Assign[תאריך],T_Assign[שם],A30,T_Assign[תאריך],"&lt;="&amp;$E$4)),"")</f>
        <v/>
      </c>
      <c r="I30" s="51" t="str">
        <f aca="false">IFERROR(IF(A30="","",IF(D30&gt;=הגדרות!$C$14,"⚡ עומס!","✓ תקין")),"")</f>
        <v/>
      </c>
      <c r="J30" s="72" t="str">
        <f aca="false">IFERROR(IF(A30="","",IF(D30&gt;=הגדרות!$C$14,D30&amp;" משמרות — "&amp;TEXT(G30,"DD/MM/YY")&amp;" עד "&amp;TEXT(H30,"DD/MM/YY"),"")),"")</f>
        <v/>
      </c>
    </row>
    <row r="31" customFormat="false" ht="15" hidden="false" customHeight="true" outlineLevel="0" collapsed="false">
      <c r="A31" s="112" t="str">
        <f aca="false">IFERROR(IF(נתוני_בסיס!$Y$27="","",נתוני_בסיס!$Y$27),"")</f>
        <v/>
      </c>
      <c r="B31" s="113" t="str">
        <f aca="false">IFERROR(IF(A31="","",IF(COUNTIF(T_Consultants[שם יועץ],A31)&gt;0,"יועץ","עובד")),"")</f>
        <v/>
      </c>
      <c r="C31" s="34" t="str">
        <f aca="false">IFERROR(IF(A31="","",IFERROR(INDEX(T_Employees[מחלקה],MATCH(A31,T_Employees[שם],0)),INDEX(T_Consultants[מחלקה],MATCH(A31,T_Consultants[שם יועץ],0)))),"")</f>
        <v/>
      </c>
      <c r="D31" s="114" t="str">
        <f aca="false">IFERROR(IF(A31="","",COUNTIFS(T_Assign[שם],A31,T_Assign[תאריך],"&gt;="&amp;$B$4,T_Assign[תאריך],"&lt;="&amp;$E$4)),0)</f>
        <v/>
      </c>
      <c r="E31" s="114" t="str">
        <f aca="false">IFERROR(IF(A31="","",D31),0)</f>
        <v/>
      </c>
      <c r="F31" s="114" t="str">
        <f aca="false">IFERROR(IF(A31="","",INT(D31/הגדרות!$C$14)),0)</f>
        <v/>
      </c>
      <c r="G31" s="115" t="str">
        <f aca="false">IFERROR(IF(A31="","",minifs(T_Assign[תאריך],T_Assign[שם],A31,T_Assign[תאריך],"&gt;="&amp;$B$4)),"")</f>
        <v/>
      </c>
      <c r="H31" s="115" t="str">
        <f aca="false">IFERROR(IF(A31="","",maxifs(T_Assign[תאריך],T_Assign[שם],A31,T_Assign[תאריך],"&lt;="&amp;$E$4)),"")</f>
        <v/>
      </c>
      <c r="I31" s="45" t="str">
        <f aca="false">IFERROR(IF(A31="","",IF(D31&gt;=הגדרות!$C$14,"⚡ עומס!","✓ תקין")),"")</f>
        <v/>
      </c>
      <c r="J31" s="20" t="str">
        <f aca="false">IFERROR(IF(A31="","",IF(D31&gt;=הגדרות!$C$14,D31&amp;" משמרות — "&amp;TEXT(G31,"DD/MM/YY")&amp;" עד "&amp;TEXT(H31,"DD/MM/YY"),"")),"")</f>
        <v/>
      </c>
    </row>
    <row r="32" customFormat="false" ht="15" hidden="false" customHeight="true" outlineLevel="0" collapsed="false">
      <c r="A32" s="116" t="str">
        <f aca="false">IFERROR(IF(נתוני_בסיס!$Y$28="","",נתוני_בסיס!$Y$28),"")</f>
        <v/>
      </c>
      <c r="B32" s="117" t="str">
        <f aca="false">IFERROR(IF(A32="","",IF(COUNTIF(T_Consultants[שם יועץ],A32)&gt;0,"יועץ","עובד")),"")</f>
        <v/>
      </c>
      <c r="C32" s="118" t="str">
        <f aca="false">IFERROR(IF(A32="","",IFERROR(INDEX(T_Employees[מחלקה],MATCH(A32,T_Employees[שם],0)),INDEX(T_Consultants[מחלקה],MATCH(A32,T_Consultants[שם יועץ],0)))),"")</f>
        <v/>
      </c>
      <c r="D32" s="119" t="str">
        <f aca="false">IFERROR(IF(A32="","",COUNTIFS(T_Assign[שם],A32,T_Assign[תאריך],"&gt;="&amp;$B$4,T_Assign[תאריך],"&lt;="&amp;$E$4)),0)</f>
        <v/>
      </c>
      <c r="E32" s="119" t="str">
        <f aca="false">IFERROR(IF(A32="","",D32),0)</f>
        <v/>
      </c>
      <c r="F32" s="119" t="str">
        <f aca="false">IFERROR(IF(A32="","",INT(D32/הגדרות!$C$14)),0)</f>
        <v/>
      </c>
      <c r="G32" s="120" t="str">
        <f aca="false">IFERROR(IF(A32="","",minifs(T_Assign[תאריך],T_Assign[שם],A32,T_Assign[תאריך],"&gt;="&amp;$B$4)),"")</f>
        <v/>
      </c>
      <c r="H32" s="120" t="str">
        <f aca="false">IFERROR(IF(A32="","",maxifs(T_Assign[תאריך],T_Assign[שם],A32,T_Assign[תאריך],"&lt;="&amp;$E$4)),"")</f>
        <v/>
      </c>
      <c r="I32" s="51" t="str">
        <f aca="false">IFERROR(IF(A32="","",IF(D32&gt;=הגדרות!$C$14,"⚡ עומס!","✓ תקין")),"")</f>
        <v/>
      </c>
      <c r="J32" s="72" t="str">
        <f aca="false">IFERROR(IF(A32="","",IF(D32&gt;=הגדרות!$C$14,D32&amp;" משמרות — "&amp;TEXT(G32,"DD/MM/YY")&amp;" עד "&amp;TEXT(H32,"DD/MM/YY"),"")),"")</f>
        <v/>
      </c>
    </row>
    <row r="33" customFormat="false" ht="15" hidden="false" customHeight="true" outlineLevel="0" collapsed="false">
      <c r="A33" s="112" t="str">
        <f aca="false">IFERROR(IF(נתוני_בסיס!$Y$29="","",נתוני_בסיס!$Y$29),"")</f>
        <v/>
      </c>
      <c r="B33" s="113" t="str">
        <f aca="false">IFERROR(IF(A33="","",IF(COUNTIF(T_Consultants[שם יועץ],A33)&gt;0,"יועץ","עובד")),"")</f>
        <v/>
      </c>
      <c r="C33" s="34" t="str">
        <f aca="false">IFERROR(IF(A33="","",IFERROR(INDEX(T_Employees[מחלקה],MATCH(A33,T_Employees[שם],0)),INDEX(T_Consultants[מחלקה],MATCH(A33,T_Consultants[שם יועץ],0)))),"")</f>
        <v/>
      </c>
      <c r="D33" s="114" t="str">
        <f aca="false">IFERROR(IF(A33="","",COUNTIFS(T_Assign[שם],A33,T_Assign[תאריך],"&gt;="&amp;$B$4,T_Assign[תאריך],"&lt;="&amp;$E$4)),0)</f>
        <v/>
      </c>
      <c r="E33" s="114" t="str">
        <f aca="false">IFERROR(IF(A33="","",D33),0)</f>
        <v/>
      </c>
      <c r="F33" s="114" t="str">
        <f aca="false">IFERROR(IF(A33="","",INT(D33/הגדרות!$C$14)),0)</f>
        <v/>
      </c>
      <c r="G33" s="115" t="str">
        <f aca="false">IFERROR(IF(A33="","",minifs(T_Assign[תאריך],T_Assign[שם],A33,T_Assign[תאריך],"&gt;="&amp;$B$4)),"")</f>
        <v/>
      </c>
      <c r="H33" s="115" t="str">
        <f aca="false">IFERROR(IF(A33="","",maxifs(T_Assign[תאריך],T_Assign[שם],A33,T_Assign[תאריך],"&lt;="&amp;$E$4)),"")</f>
        <v/>
      </c>
      <c r="I33" s="45" t="str">
        <f aca="false">IFERROR(IF(A33="","",IF(D33&gt;=הגדרות!$C$14,"⚡ עומס!","✓ תקין")),"")</f>
        <v/>
      </c>
      <c r="J33" s="20" t="str">
        <f aca="false">IFERROR(IF(A33="","",IF(D33&gt;=הגדרות!$C$14,D33&amp;" משמרות — "&amp;TEXT(G33,"DD/MM/YY")&amp;" עד "&amp;TEXT(H33,"DD/MM/YY"),"")),"")</f>
        <v/>
      </c>
    </row>
    <row r="34" customFormat="false" ht="15" hidden="false" customHeight="true" outlineLevel="0" collapsed="false">
      <c r="A34" s="116" t="str">
        <f aca="false">IFERROR(IF(נתוני_בסיס!$Y$30="","",נתוני_בסיס!$Y$30),"")</f>
        <v/>
      </c>
      <c r="B34" s="117" t="str">
        <f aca="false">IFERROR(IF(A34="","",IF(COUNTIF(T_Consultants[שם יועץ],A34)&gt;0,"יועץ","עובד")),"")</f>
        <v/>
      </c>
      <c r="C34" s="118" t="str">
        <f aca="false">IFERROR(IF(A34="","",IFERROR(INDEX(T_Employees[מחלקה],MATCH(A34,T_Employees[שם],0)),INDEX(T_Consultants[מחלקה],MATCH(A34,T_Consultants[שם יועץ],0)))),"")</f>
        <v/>
      </c>
      <c r="D34" s="119" t="str">
        <f aca="false">IFERROR(IF(A34="","",COUNTIFS(T_Assign[שם],A34,T_Assign[תאריך],"&gt;="&amp;$B$4,T_Assign[תאריך],"&lt;="&amp;$E$4)),0)</f>
        <v/>
      </c>
      <c r="E34" s="119" t="str">
        <f aca="false">IFERROR(IF(A34="","",D34),0)</f>
        <v/>
      </c>
      <c r="F34" s="119" t="str">
        <f aca="false">IFERROR(IF(A34="","",INT(D34/הגדרות!$C$14)),0)</f>
        <v/>
      </c>
      <c r="G34" s="120" t="str">
        <f aca="false">IFERROR(IF(A34="","",minifs(T_Assign[תאריך],T_Assign[שם],A34,T_Assign[תאריך],"&gt;="&amp;$B$4)),"")</f>
        <v/>
      </c>
      <c r="H34" s="120" t="str">
        <f aca="false">IFERROR(IF(A34="","",maxifs(T_Assign[תאריך],T_Assign[שם],A34,T_Assign[תאריך],"&lt;="&amp;$E$4)),"")</f>
        <v/>
      </c>
      <c r="I34" s="51" t="str">
        <f aca="false">IFERROR(IF(A34="","",IF(D34&gt;=הגדרות!$C$14,"⚡ עומס!","✓ תקין")),"")</f>
        <v/>
      </c>
      <c r="J34" s="72" t="str">
        <f aca="false">IFERROR(IF(A34="","",IF(D34&gt;=הגדרות!$C$14,D34&amp;" משמרות — "&amp;TEXT(G34,"DD/MM/YY")&amp;" עד "&amp;TEXT(H34,"DD/MM/YY"),"")),"")</f>
        <v/>
      </c>
    </row>
    <row r="35" customFormat="false" ht="15" hidden="false" customHeight="true" outlineLevel="0" collapsed="false">
      <c r="A35" s="112" t="str">
        <f aca="false">IFERROR(IF(נתוני_בסיס!$Y$31="","",נתוני_בסיס!$Y$31),"")</f>
        <v/>
      </c>
      <c r="B35" s="113" t="str">
        <f aca="false">IFERROR(IF(A35="","",IF(COUNTIF(T_Consultants[שם יועץ],A35)&gt;0,"יועץ","עובד")),"")</f>
        <v/>
      </c>
      <c r="C35" s="34" t="str">
        <f aca="false">IFERROR(IF(A35="","",IFERROR(INDEX(T_Employees[מחלקה],MATCH(A35,T_Employees[שם],0)),INDEX(T_Consultants[מחלקה],MATCH(A35,T_Consultants[שם יועץ],0)))),"")</f>
        <v/>
      </c>
      <c r="D35" s="114" t="str">
        <f aca="false">IFERROR(IF(A35="","",COUNTIFS(T_Assign[שם],A35,T_Assign[תאריך],"&gt;="&amp;$B$4,T_Assign[תאריך],"&lt;="&amp;$E$4)),0)</f>
        <v/>
      </c>
      <c r="E35" s="114" t="str">
        <f aca="false">IFERROR(IF(A35="","",D35),0)</f>
        <v/>
      </c>
      <c r="F35" s="114" t="str">
        <f aca="false">IFERROR(IF(A35="","",INT(D35/הגדרות!$C$14)),0)</f>
        <v/>
      </c>
      <c r="G35" s="115" t="str">
        <f aca="false">IFERROR(IF(A35="","",minifs(T_Assign[תאריך],T_Assign[שם],A35,T_Assign[תאריך],"&gt;="&amp;$B$4)),"")</f>
        <v/>
      </c>
      <c r="H35" s="115" t="str">
        <f aca="false">IFERROR(IF(A35="","",maxifs(T_Assign[תאריך],T_Assign[שם],A35,T_Assign[תאריך],"&lt;="&amp;$E$4)),"")</f>
        <v/>
      </c>
      <c r="I35" s="45" t="str">
        <f aca="false">IFERROR(IF(A35="","",IF(D35&gt;=הגדרות!$C$14,"⚡ עומס!","✓ תקין")),"")</f>
        <v/>
      </c>
      <c r="J35" s="20" t="str">
        <f aca="false">IFERROR(IF(A35="","",IF(D35&gt;=הגדרות!$C$14,D35&amp;" משמרות — "&amp;TEXT(G35,"DD/MM/YY")&amp;" עד "&amp;TEXT(H35,"DD/MM/YY"),"")),"")</f>
        <v/>
      </c>
    </row>
    <row r="36" customFormat="false" ht="15" hidden="false" customHeight="true" outlineLevel="0" collapsed="false">
      <c r="A36" s="116" t="str">
        <f aca="false">IFERROR(IF(נתוני_בסיס!$Y$32="","",נתוני_בסיס!$Y$32),"")</f>
        <v/>
      </c>
      <c r="B36" s="117" t="str">
        <f aca="false">IFERROR(IF(A36="","",IF(COUNTIF(T_Consultants[שם יועץ],A36)&gt;0,"יועץ","עובד")),"")</f>
        <v/>
      </c>
      <c r="C36" s="118" t="str">
        <f aca="false">IFERROR(IF(A36="","",IFERROR(INDEX(T_Employees[מחלקה],MATCH(A36,T_Employees[שם],0)),INDEX(T_Consultants[מחלקה],MATCH(A36,T_Consultants[שם יועץ],0)))),"")</f>
        <v/>
      </c>
      <c r="D36" s="119" t="str">
        <f aca="false">IFERROR(IF(A36="","",COUNTIFS(T_Assign[שם],A36,T_Assign[תאריך],"&gt;="&amp;$B$4,T_Assign[תאריך],"&lt;="&amp;$E$4)),0)</f>
        <v/>
      </c>
      <c r="E36" s="119" t="str">
        <f aca="false">IFERROR(IF(A36="","",D36),0)</f>
        <v/>
      </c>
      <c r="F36" s="119" t="str">
        <f aca="false">IFERROR(IF(A36="","",INT(D36/הגדרות!$C$14)),0)</f>
        <v/>
      </c>
      <c r="G36" s="120" t="str">
        <f aca="false">IFERROR(IF(A36="","",minifs(T_Assign[תאריך],T_Assign[שם],A36,T_Assign[תאריך],"&gt;="&amp;$B$4)),"")</f>
        <v/>
      </c>
      <c r="H36" s="120" t="str">
        <f aca="false">IFERROR(IF(A36="","",maxifs(T_Assign[תאריך],T_Assign[שם],A36,T_Assign[תאריך],"&lt;="&amp;$E$4)),"")</f>
        <v/>
      </c>
      <c r="I36" s="51" t="str">
        <f aca="false">IFERROR(IF(A36="","",IF(D36&gt;=הגדרות!$C$14,"⚡ עומס!","✓ תקין")),"")</f>
        <v/>
      </c>
      <c r="J36" s="72" t="str">
        <f aca="false">IFERROR(IF(A36="","",IF(D36&gt;=הגדרות!$C$14,D36&amp;" משמרות — "&amp;TEXT(G36,"DD/MM/YY")&amp;" עד "&amp;TEXT(H36,"DD/MM/YY"),"")),"")</f>
        <v/>
      </c>
    </row>
    <row r="37" customFormat="false" ht="15" hidden="false" customHeight="true" outlineLevel="0" collapsed="false">
      <c r="A37" s="112" t="str">
        <f aca="false">IFERROR(IF(נתוני_בסיס!$Y$33="","",נתוני_בסיס!$Y$33),"")</f>
        <v/>
      </c>
      <c r="B37" s="113" t="str">
        <f aca="false">IFERROR(IF(A37="","",IF(COUNTIF(T_Consultants[שם יועץ],A37)&gt;0,"יועץ","עובד")),"")</f>
        <v/>
      </c>
      <c r="C37" s="34" t="str">
        <f aca="false">IFERROR(IF(A37="","",IFERROR(INDEX(T_Employees[מחלקה],MATCH(A37,T_Employees[שם],0)),INDEX(T_Consultants[מחלקה],MATCH(A37,T_Consultants[שם יועץ],0)))),"")</f>
        <v/>
      </c>
      <c r="D37" s="114" t="str">
        <f aca="false">IFERROR(IF(A37="","",COUNTIFS(T_Assign[שם],A37,T_Assign[תאריך],"&gt;="&amp;$B$4,T_Assign[תאריך],"&lt;="&amp;$E$4)),0)</f>
        <v/>
      </c>
      <c r="E37" s="114" t="str">
        <f aca="false">IFERROR(IF(A37="","",D37),0)</f>
        <v/>
      </c>
      <c r="F37" s="114" t="str">
        <f aca="false">IFERROR(IF(A37="","",INT(D37/הגדרות!$C$14)),0)</f>
        <v/>
      </c>
      <c r="G37" s="115" t="str">
        <f aca="false">IFERROR(IF(A37="","",minifs(T_Assign[תאריך],T_Assign[שם],A37,T_Assign[תאריך],"&gt;="&amp;$B$4)),"")</f>
        <v/>
      </c>
      <c r="H37" s="115" t="str">
        <f aca="false">IFERROR(IF(A37="","",maxifs(T_Assign[תאריך],T_Assign[שם],A37,T_Assign[תאריך],"&lt;="&amp;$E$4)),"")</f>
        <v/>
      </c>
      <c r="I37" s="45" t="str">
        <f aca="false">IFERROR(IF(A37="","",IF(D37&gt;=הגדרות!$C$14,"⚡ עומס!","✓ תקין")),"")</f>
        <v/>
      </c>
      <c r="J37" s="20" t="str">
        <f aca="false">IFERROR(IF(A37="","",IF(D37&gt;=הגדרות!$C$14,D37&amp;" משמרות — "&amp;TEXT(G37,"DD/MM/YY")&amp;" עד "&amp;TEXT(H37,"DD/MM/YY"),"")),"")</f>
        <v/>
      </c>
    </row>
    <row r="38" customFormat="false" ht="15" hidden="false" customHeight="true" outlineLevel="0" collapsed="false">
      <c r="A38" s="116" t="str">
        <f aca="false">IFERROR(IF(נתוני_בסיס!$Y$34="","",נתוני_בסיס!$Y$34),"")</f>
        <v/>
      </c>
      <c r="B38" s="117" t="str">
        <f aca="false">IFERROR(IF(A38="","",IF(COUNTIF(T_Consultants[שם יועץ],A38)&gt;0,"יועץ","עובד")),"")</f>
        <v/>
      </c>
      <c r="C38" s="118" t="str">
        <f aca="false">IFERROR(IF(A38="","",IFERROR(INDEX(T_Employees[מחלקה],MATCH(A38,T_Employees[שם],0)),INDEX(T_Consultants[מחלקה],MATCH(A38,T_Consultants[שם יועץ],0)))),"")</f>
        <v/>
      </c>
      <c r="D38" s="119" t="str">
        <f aca="false">IFERROR(IF(A38="","",COUNTIFS(T_Assign[שם],A38,T_Assign[תאריך],"&gt;="&amp;$B$4,T_Assign[תאריך],"&lt;="&amp;$E$4)),0)</f>
        <v/>
      </c>
      <c r="E38" s="119" t="str">
        <f aca="false">IFERROR(IF(A38="","",D38),0)</f>
        <v/>
      </c>
      <c r="F38" s="119" t="str">
        <f aca="false">IFERROR(IF(A38="","",INT(D38/הגדרות!$C$14)),0)</f>
        <v/>
      </c>
      <c r="G38" s="120" t="str">
        <f aca="false">IFERROR(IF(A38="","",minifs(T_Assign[תאריך],T_Assign[שם],A38,T_Assign[תאריך],"&gt;="&amp;$B$4)),"")</f>
        <v/>
      </c>
      <c r="H38" s="120" t="str">
        <f aca="false">IFERROR(IF(A38="","",maxifs(T_Assign[תאריך],T_Assign[שם],A38,T_Assign[תאריך],"&lt;="&amp;$E$4)),"")</f>
        <v/>
      </c>
      <c r="I38" s="51" t="str">
        <f aca="false">IFERROR(IF(A38="","",IF(D38&gt;=הגדרות!$C$14,"⚡ עומס!","✓ תקין")),"")</f>
        <v/>
      </c>
      <c r="J38" s="72" t="str">
        <f aca="false">IFERROR(IF(A38="","",IF(D38&gt;=הגדרות!$C$14,D38&amp;" משמרות — "&amp;TEXT(G38,"DD/MM/YY")&amp;" עד "&amp;TEXT(H38,"DD/MM/YY"),"")),"")</f>
        <v/>
      </c>
    </row>
    <row r="39" customFormat="false" ht="15" hidden="false" customHeight="true" outlineLevel="0" collapsed="false">
      <c r="A39" s="112" t="str">
        <f aca="false">IFERROR(IF(נתוני_בסיס!$Y$35="","",נתוני_בסיס!$Y$35),"")</f>
        <v/>
      </c>
      <c r="B39" s="113" t="str">
        <f aca="false">IFERROR(IF(A39="","",IF(COUNTIF(T_Consultants[שם יועץ],A39)&gt;0,"יועץ","עובד")),"")</f>
        <v/>
      </c>
      <c r="C39" s="34" t="str">
        <f aca="false">IFERROR(IF(A39="","",IFERROR(INDEX(T_Employees[מחלקה],MATCH(A39,T_Employees[שם],0)),INDEX(T_Consultants[מחלקה],MATCH(A39,T_Consultants[שם יועץ],0)))),"")</f>
        <v/>
      </c>
      <c r="D39" s="114" t="str">
        <f aca="false">IFERROR(IF(A39="","",COUNTIFS(T_Assign[שם],A39,T_Assign[תאריך],"&gt;="&amp;$B$4,T_Assign[תאריך],"&lt;="&amp;$E$4)),0)</f>
        <v/>
      </c>
      <c r="E39" s="114" t="str">
        <f aca="false">IFERROR(IF(A39="","",D39),0)</f>
        <v/>
      </c>
      <c r="F39" s="114" t="str">
        <f aca="false">IFERROR(IF(A39="","",INT(D39/הגדרות!$C$14)),0)</f>
        <v/>
      </c>
      <c r="G39" s="115" t="str">
        <f aca="false">IFERROR(IF(A39="","",minifs(T_Assign[תאריך],T_Assign[שם],A39,T_Assign[תאריך],"&gt;="&amp;$B$4)),"")</f>
        <v/>
      </c>
      <c r="H39" s="115" t="str">
        <f aca="false">IFERROR(IF(A39="","",maxifs(T_Assign[תאריך],T_Assign[שם],A39,T_Assign[תאריך],"&lt;="&amp;$E$4)),"")</f>
        <v/>
      </c>
      <c r="I39" s="45" t="str">
        <f aca="false">IFERROR(IF(A39="","",IF(D39&gt;=הגדרות!$C$14,"⚡ עומס!","✓ תקין")),"")</f>
        <v/>
      </c>
      <c r="J39" s="20" t="str">
        <f aca="false">IFERROR(IF(A39="","",IF(D39&gt;=הגדרות!$C$14,D39&amp;" משמרות — "&amp;TEXT(G39,"DD/MM/YY")&amp;" עד "&amp;TEXT(H39,"DD/MM/YY"),"")),"")</f>
        <v/>
      </c>
    </row>
    <row r="40" customFormat="false" ht="15" hidden="false" customHeight="true" outlineLevel="0" collapsed="false">
      <c r="A40" s="116" t="str">
        <f aca="false">IFERROR(IF(נתוני_בסיס!$Y$36="","",נתוני_בסיס!$Y$36),"")</f>
        <v/>
      </c>
      <c r="B40" s="117" t="str">
        <f aca="false">IFERROR(IF(A40="","",IF(COUNTIF(T_Consultants[שם יועץ],A40)&gt;0,"יועץ","עובד")),"")</f>
        <v/>
      </c>
      <c r="C40" s="118" t="str">
        <f aca="false">IFERROR(IF(A40="","",IFERROR(INDEX(T_Employees[מחלקה],MATCH(A40,T_Employees[שם],0)),INDEX(T_Consultants[מחלקה],MATCH(A40,T_Consultants[שם יועץ],0)))),"")</f>
        <v/>
      </c>
      <c r="D40" s="119" t="str">
        <f aca="false">IFERROR(IF(A40="","",COUNTIFS(T_Assign[שם],A40,T_Assign[תאריך],"&gt;="&amp;$B$4,T_Assign[תאריך],"&lt;="&amp;$E$4)),0)</f>
        <v/>
      </c>
      <c r="E40" s="119" t="str">
        <f aca="false">IFERROR(IF(A40="","",D40),0)</f>
        <v/>
      </c>
      <c r="F40" s="119" t="str">
        <f aca="false">IFERROR(IF(A40="","",INT(D40/הגדרות!$C$14)),0)</f>
        <v/>
      </c>
      <c r="G40" s="120" t="str">
        <f aca="false">IFERROR(IF(A40="","",minifs(T_Assign[תאריך],T_Assign[שם],A40,T_Assign[תאריך],"&gt;="&amp;$B$4)),"")</f>
        <v/>
      </c>
      <c r="H40" s="120" t="str">
        <f aca="false">IFERROR(IF(A40="","",maxifs(T_Assign[תאריך],T_Assign[שם],A40,T_Assign[תאריך],"&lt;="&amp;$E$4)),"")</f>
        <v/>
      </c>
      <c r="I40" s="51" t="str">
        <f aca="false">IFERROR(IF(A40="","",IF(D40&gt;=הגדרות!$C$14,"⚡ עומס!","✓ תקין")),"")</f>
        <v/>
      </c>
      <c r="J40" s="72" t="str">
        <f aca="false">IFERROR(IF(A40="","",IF(D40&gt;=הגדרות!$C$14,D40&amp;" משמרות — "&amp;TEXT(G40,"DD/MM/YY")&amp;" עד "&amp;TEXT(H40,"DD/MM/YY"),"")),"")</f>
        <v/>
      </c>
    </row>
    <row r="41" customFormat="false" ht="15" hidden="false" customHeight="true" outlineLevel="0" collapsed="false">
      <c r="A41" s="112" t="str">
        <f aca="false">IFERROR(IF(נתוני_בסיס!$Y$37="","",נתוני_בסיס!$Y$37),"")</f>
        <v/>
      </c>
      <c r="B41" s="113" t="str">
        <f aca="false">IFERROR(IF(A41="","",IF(COUNTIF(T_Consultants[שם יועץ],A41)&gt;0,"יועץ","עובד")),"")</f>
        <v/>
      </c>
      <c r="C41" s="34" t="str">
        <f aca="false">IFERROR(IF(A41="","",IFERROR(INDEX(T_Employees[מחלקה],MATCH(A41,T_Employees[שם],0)),INDEX(T_Consultants[מחלקה],MATCH(A41,T_Consultants[שם יועץ],0)))),"")</f>
        <v/>
      </c>
      <c r="D41" s="114" t="str">
        <f aca="false">IFERROR(IF(A41="","",COUNTIFS(T_Assign[שם],A41,T_Assign[תאריך],"&gt;="&amp;$B$4,T_Assign[תאריך],"&lt;="&amp;$E$4)),0)</f>
        <v/>
      </c>
      <c r="E41" s="114" t="str">
        <f aca="false">IFERROR(IF(A41="","",D41),0)</f>
        <v/>
      </c>
      <c r="F41" s="114" t="str">
        <f aca="false">IFERROR(IF(A41="","",INT(D41/הגדרות!$C$14)),0)</f>
        <v/>
      </c>
      <c r="G41" s="115" t="str">
        <f aca="false">IFERROR(IF(A41="","",minifs(T_Assign[תאריך],T_Assign[שם],A41,T_Assign[תאריך],"&gt;="&amp;$B$4)),"")</f>
        <v/>
      </c>
      <c r="H41" s="115" t="str">
        <f aca="false">IFERROR(IF(A41="","",maxifs(T_Assign[תאריך],T_Assign[שם],A41,T_Assign[תאריך],"&lt;="&amp;$E$4)),"")</f>
        <v/>
      </c>
      <c r="I41" s="45" t="str">
        <f aca="false">IFERROR(IF(A41="","",IF(D41&gt;=הגדרות!$C$14,"⚡ עומס!","✓ תקין")),"")</f>
        <v/>
      </c>
      <c r="J41" s="20" t="str">
        <f aca="false">IFERROR(IF(A41="","",IF(D41&gt;=הגדרות!$C$14,D41&amp;" משמרות — "&amp;TEXT(G41,"DD/MM/YY")&amp;" עד "&amp;TEXT(H41,"DD/MM/YY"),"")),"")</f>
        <v/>
      </c>
    </row>
    <row r="42" customFormat="false" ht="15" hidden="false" customHeight="true" outlineLevel="0" collapsed="false">
      <c r="A42" s="116" t="str">
        <f aca="false">IFERROR(IF(נתוני_בסיס!$Y$38="","",נתוני_בסיס!$Y$38),"")</f>
        <v/>
      </c>
      <c r="B42" s="117" t="str">
        <f aca="false">IFERROR(IF(A42="","",IF(COUNTIF(T_Consultants[שם יועץ],A42)&gt;0,"יועץ","עובד")),"")</f>
        <v/>
      </c>
      <c r="C42" s="118" t="str">
        <f aca="false">IFERROR(IF(A42="","",IFERROR(INDEX(T_Employees[מחלקה],MATCH(A42,T_Employees[שם],0)),INDEX(T_Consultants[מחלקה],MATCH(A42,T_Consultants[שם יועץ],0)))),"")</f>
        <v/>
      </c>
      <c r="D42" s="119" t="str">
        <f aca="false">IFERROR(IF(A42="","",COUNTIFS(T_Assign[שם],A42,T_Assign[תאריך],"&gt;="&amp;$B$4,T_Assign[תאריך],"&lt;="&amp;$E$4)),0)</f>
        <v/>
      </c>
      <c r="E42" s="119" t="str">
        <f aca="false">IFERROR(IF(A42="","",D42),0)</f>
        <v/>
      </c>
      <c r="F42" s="119" t="str">
        <f aca="false">IFERROR(IF(A42="","",INT(D42/הגדרות!$C$14)),0)</f>
        <v/>
      </c>
      <c r="G42" s="120" t="str">
        <f aca="false">IFERROR(IF(A42="","",minifs(T_Assign[תאריך],T_Assign[שם],A42,T_Assign[תאריך],"&gt;="&amp;$B$4)),"")</f>
        <v/>
      </c>
      <c r="H42" s="120" t="str">
        <f aca="false">IFERROR(IF(A42="","",maxifs(T_Assign[תאריך],T_Assign[שם],A42,T_Assign[תאריך],"&lt;="&amp;$E$4)),"")</f>
        <v/>
      </c>
      <c r="I42" s="51" t="str">
        <f aca="false">IFERROR(IF(A42="","",IF(D42&gt;=הגדרות!$C$14,"⚡ עומס!","✓ תקין")),"")</f>
        <v/>
      </c>
      <c r="J42" s="72" t="str">
        <f aca="false">IFERROR(IF(A42="","",IF(D42&gt;=הגדרות!$C$14,D42&amp;" משמרות — "&amp;TEXT(G42,"DD/MM/YY")&amp;" עד "&amp;TEXT(H42,"DD/MM/YY"),"")),"")</f>
        <v/>
      </c>
    </row>
    <row r="43" customFormat="false" ht="15" hidden="false" customHeight="true" outlineLevel="0" collapsed="false">
      <c r="A43" s="112" t="str">
        <f aca="false">IFERROR(IF(נתוני_בסיס!$Y$39="","",נתוני_בסיס!$Y$39),"")</f>
        <v/>
      </c>
      <c r="B43" s="113" t="str">
        <f aca="false">IFERROR(IF(A43="","",IF(COUNTIF(T_Consultants[שם יועץ],A43)&gt;0,"יועץ","עובד")),"")</f>
        <v/>
      </c>
      <c r="C43" s="34" t="str">
        <f aca="false">IFERROR(IF(A43="","",IFERROR(INDEX(T_Employees[מחלקה],MATCH(A43,T_Employees[שם],0)),INDEX(T_Consultants[מחלקה],MATCH(A43,T_Consultants[שם יועץ],0)))),"")</f>
        <v/>
      </c>
      <c r="D43" s="114" t="str">
        <f aca="false">IFERROR(IF(A43="","",COUNTIFS(T_Assign[שם],A43,T_Assign[תאריך],"&gt;="&amp;$B$4,T_Assign[תאריך],"&lt;="&amp;$E$4)),0)</f>
        <v/>
      </c>
      <c r="E43" s="114" t="str">
        <f aca="false">IFERROR(IF(A43="","",D43),0)</f>
        <v/>
      </c>
      <c r="F43" s="114" t="str">
        <f aca="false">IFERROR(IF(A43="","",INT(D43/הגדרות!$C$14)),0)</f>
        <v/>
      </c>
      <c r="G43" s="115" t="str">
        <f aca="false">IFERROR(IF(A43="","",minifs(T_Assign[תאריך],T_Assign[שם],A43,T_Assign[תאריך],"&gt;="&amp;$B$4)),"")</f>
        <v/>
      </c>
      <c r="H43" s="115" t="str">
        <f aca="false">IFERROR(IF(A43="","",maxifs(T_Assign[תאריך],T_Assign[שם],A43,T_Assign[תאריך],"&lt;="&amp;$E$4)),"")</f>
        <v/>
      </c>
      <c r="I43" s="45" t="str">
        <f aca="false">IFERROR(IF(A43="","",IF(D43&gt;=הגדרות!$C$14,"⚡ עומס!","✓ תקין")),"")</f>
        <v/>
      </c>
      <c r="J43" s="20" t="str">
        <f aca="false">IFERROR(IF(A43="","",IF(D43&gt;=הגדרות!$C$14,D43&amp;" משמרות — "&amp;TEXT(G43,"DD/MM/YY")&amp;" עד "&amp;TEXT(H43,"DD/MM/YY"),"")),"")</f>
        <v/>
      </c>
    </row>
    <row r="44" customFormat="false" ht="15" hidden="false" customHeight="true" outlineLevel="0" collapsed="false">
      <c r="A44" s="116" t="str">
        <f aca="false">IFERROR(IF(נתוני_בסיס!$Y$40="","",נתוני_בסיס!$Y$40),"")</f>
        <v/>
      </c>
      <c r="B44" s="117" t="str">
        <f aca="false">IFERROR(IF(A44="","",IF(COUNTIF(T_Consultants[שם יועץ],A44)&gt;0,"יועץ","עובד")),"")</f>
        <v/>
      </c>
      <c r="C44" s="118" t="str">
        <f aca="false">IFERROR(IF(A44="","",IFERROR(INDEX(T_Employees[מחלקה],MATCH(A44,T_Employees[שם],0)),INDEX(T_Consultants[מחלקה],MATCH(A44,T_Consultants[שם יועץ],0)))),"")</f>
        <v/>
      </c>
      <c r="D44" s="119" t="str">
        <f aca="false">IFERROR(IF(A44="","",COUNTIFS(T_Assign[שם],A44,T_Assign[תאריך],"&gt;="&amp;$B$4,T_Assign[תאריך],"&lt;="&amp;$E$4)),0)</f>
        <v/>
      </c>
      <c r="E44" s="119" t="str">
        <f aca="false">IFERROR(IF(A44="","",D44),0)</f>
        <v/>
      </c>
      <c r="F44" s="119" t="str">
        <f aca="false">IFERROR(IF(A44="","",INT(D44/הגדרות!$C$14)),0)</f>
        <v/>
      </c>
      <c r="G44" s="120" t="str">
        <f aca="false">IFERROR(IF(A44="","",minifs(T_Assign[תאריך],T_Assign[שם],A44,T_Assign[תאריך],"&gt;="&amp;$B$4)),"")</f>
        <v/>
      </c>
      <c r="H44" s="120" t="str">
        <f aca="false">IFERROR(IF(A44="","",maxifs(T_Assign[תאריך],T_Assign[שם],A44,T_Assign[תאריך],"&lt;="&amp;$E$4)),"")</f>
        <v/>
      </c>
      <c r="I44" s="51" t="str">
        <f aca="false">IFERROR(IF(A44="","",IF(D44&gt;=הגדרות!$C$14,"⚡ עומס!","✓ תקין")),"")</f>
        <v/>
      </c>
      <c r="J44" s="72" t="str">
        <f aca="false">IFERROR(IF(A44="","",IF(D44&gt;=הגדרות!$C$14,D44&amp;" משמרות — "&amp;TEXT(G44,"DD/MM/YY")&amp;" עד "&amp;TEXT(H44,"DD/MM/YY"),"")),"")</f>
        <v/>
      </c>
    </row>
    <row r="45" customFormat="false" ht="15" hidden="false" customHeight="true" outlineLevel="0" collapsed="false">
      <c r="A45" s="112" t="str">
        <f aca="false">IFERROR(IF(נתוני_בסיס!$Y$41="","",נתוני_בסיס!$Y$41),"")</f>
        <v/>
      </c>
      <c r="B45" s="113" t="str">
        <f aca="false">IFERROR(IF(A45="","",IF(COUNTIF(T_Consultants[שם יועץ],A45)&gt;0,"יועץ","עובד")),"")</f>
        <v/>
      </c>
      <c r="C45" s="34" t="str">
        <f aca="false">IFERROR(IF(A45="","",IFERROR(INDEX(T_Employees[מחלקה],MATCH(A45,T_Employees[שם],0)),INDEX(T_Consultants[מחלקה],MATCH(A45,T_Consultants[שם יועץ],0)))),"")</f>
        <v/>
      </c>
      <c r="D45" s="114" t="str">
        <f aca="false">IFERROR(IF(A45="","",COUNTIFS(T_Assign[שם],A45,T_Assign[תאריך],"&gt;="&amp;$B$4,T_Assign[תאריך],"&lt;="&amp;$E$4)),0)</f>
        <v/>
      </c>
      <c r="E45" s="114" t="str">
        <f aca="false">IFERROR(IF(A45="","",D45),0)</f>
        <v/>
      </c>
      <c r="F45" s="114" t="str">
        <f aca="false">IFERROR(IF(A45="","",INT(D45/הגדרות!$C$14)),0)</f>
        <v/>
      </c>
      <c r="G45" s="115" t="str">
        <f aca="false">IFERROR(IF(A45="","",minifs(T_Assign[תאריך],T_Assign[שם],A45,T_Assign[תאריך],"&gt;="&amp;$B$4)),"")</f>
        <v/>
      </c>
      <c r="H45" s="115" t="str">
        <f aca="false">IFERROR(IF(A45="","",maxifs(T_Assign[תאריך],T_Assign[שם],A45,T_Assign[תאריך],"&lt;="&amp;$E$4)),"")</f>
        <v/>
      </c>
      <c r="I45" s="45" t="str">
        <f aca="false">IFERROR(IF(A45="","",IF(D45&gt;=הגדרות!$C$14,"⚡ עומס!","✓ תקין")),"")</f>
        <v/>
      </c>
      <c r="J45" s="20" t="str">
        <f aca="false">IFERROR(IF(A45="","",IF(D45&gt;=הגדרות!$C$14,D45&amp;" משמרות — "&amp;TEXT(G45,"DD/MM/YY")&amp;" עד "&amp;TEXT(H45,"DD/MM/YY"),"")),"")</f>
        <v/>
      </c>
    </row>
    <row r="46" customFormat="false" ht="15" hidden="false" customHeight="true" outlineLevel="0" collapsed="false">
      <c r="A46" s="116" t="str">
        <f aca="false">IFERROR(IF(נתוני_בסיס!$Y$42="","",נתוני_בסיס!$Y$42),"")</f>
        <v/>
      </c>
      <c r="B46" s="117" t="str">
        <f aca="false">IFERROR(IF(A46="","",IF(COUNTIF(T_Consultants[שם יועץ],A46)&gt;0,"יועץ","עובד")),"")</f>
        <v/>
      </c>
      <c r="C46" s="118" t="str">
        <f aca="false">IFERROR(IF(A46="","",IFERROR(INDEX(T_Employees[מחלקה],MATCH(A46,T_Employees[שם],0)),INDEX(T_Consultants[מחלקה],MATCH(A46,T_Consultants[שם יועץ],0)))),"")</f>
        <v/>
      </c>
      <c r="D46" s="119" t="str">
        <f aca="false">IFERROR(IF(A46="","",COUNTIFS(T_Assign[שם],A46,T_Assign[תאריך],"&gt;="&amp;$B$4,T_Assign[תאריך],"&lt;="&amp;$E$4)),0)</f>
        <v/>
      </c>
      <c r="E46" s="119" t="str">
        <f aca="false">IFERROR(IF(A46="","",D46),0)</f>
        <v/>
      </c>
      <c r="F46" s="119" t="str">
        <f aca="false">IFERROR(IF(A46="","",INT(D46/הגדרות!$C$14)),0)</f>
        <v/>
      </c>
      <c r="G46" s="120" t="str">
        <f aca="false">IFERROR(IF(A46="","",minifs(T_Assign[תאריך],T_Assign[שם],A46,T_Assign[תאריך],"&gt;="&amp;$B$4)),"")</f>
        <v/>
      </c>
      <c r="H46" s="120" t="str">
        <f aca="false">IFERROR(IF(A46="","",maxifs(T_Assign[תאריך],T_Assign[שם],A46,T_Assign[תאריך],"&lt;="&amp;$E$4)),"")</f>
        <v/>
      </c>
      <c r="I46" s="51" t="str">
        <f aca="false">IFERROR(IF(A46="","",IF(D46&gt;=הגדרות!$C$14,"⚡ עומס!","✓ תקין")),"")</f>
        <v/>
      </c>
      <c r="J46" s="72" t="str">
        <f aca="false">IFERROR(IF(A46="","",IF(D46&gt;=הגדרות!$C$14,D46&amp;" משמרות — "&amp;TEXT(G46,"DD/MM/YY")&amp;" עד "&amp;TEXT(H46,"DD/MM/YY"),"")),"")</f>
        <v/>
      </c>
    </row>
    <row r="47" customFormat="false" ht="15" hidden="false" customHeight="true" outlineLevel="0" collapsed="false">
      <c r="A47" s="112" t="str">
        <f aca="false">IFERROR(IF(נתוני_בסיס!$Y$43="","",נתוני_בסיס!$Y$43),"")</f>
        <v/>
      </c>
      <c r="B47" s="113" t="str">
        <f aca="false">IFERROR(IF(A47="","",IF(COUNTIF(T_Consultants[שם יועץ],A47)&gt;0,"יועץ","עובד")),"")</f>
        <v/>
      </c>
      <c r="C47" s="34" t="str">
        <f aca="false">IFERROR(IF(A47="","",IFERROR(INDEX(T_Employees[מחלקה],MATCH(A47,T_Employees[שם],0)),INDEX(T_Consultants[מחלקה],MATCH(A47,T_Consultants[שם יועץ],0)))),"")</f>
        <v/>
      </c>
      <c r="D47" s="114" t="str">
        <f aca="false">IFERROR(IF(A47="","",COUNTIFS(T_Assign[שם],A47,T_Assign[תאריך],"&gt;="&amp;$B$4,T_Assign[תאריך],"&lt;="&amp;$E$4)),0)</f>
        <v/>
      </c>
      <c r="E47" s="114" t="str">
        <f aca="false">IFERROR(IF(A47="","",D47),0)</f>
        <v/>
      </c>
      <c r="F47" s="114" t="str">
        <f aca="false">IFERROR(IF(A47="","",INT(D47/הגדרות!$C$14)),0)</f>
        <v/>
      </c>
      <c r="G47" s="115" t="str">
        <f aca="false">IFERROR(IF(A47="","",minifs(T_Assign[תאריך],T_Assign[שם],A47,T_Assign[תאריך],"&gt;="&amp;$B$4)),"")</f>
        <v/>
      </c>
      <c r="H47" s="115" t="str">
        <f aca="false">IFERROR(IF(A47="","",maxifs(T_Assign[תאריך],T_Assign[שם],A47,T_Assign[תאריך],"&lt;="&amp;$E$4)),"")</f>
        <v/>
      </c>
      <c r="I47" s="45" t="str">
        <f aca="false">IFERROR(IF(A47="","",IF(D47&gt;=הגדרות!$C$14,"⚡ עומס!","✓ תקין")),"")</f>
        <v/>
      </c>
      <c r="J47" s="20" t="str">
        <f aca="false">IFERROR(IF(A47="","",IF(D47&gt;=הגדרות!$C$14,D47&amp;" משמרות — "&amp;TEXT(G47,"DD/MM/YY")&amp;" עד "&amp;TEXT(H47,"DD/MM/YY"),"")),"")</f>
        <v/>
      </c>
    </row>
    <row r="48" customFormat="false" ht="15" hidden="false" customHeight="true" outlineLevel="0" collapsed="false">
      <c r="A48" s="116" t="str">
        <f aca="false">IFERROR(IF(נתוני_בסיס!$Y$44="","",נתוני_בסיס!$Y$44),"")</f>
        <v/>
      </c>
      <c r="B48" s="117" t="str">
        <f aca="false">IFERROR(IF(A48="","",IF(COUNTIF(T_Consultants[שם יועץ],A48)&gt;0,"יועץ","עובד")),"")</f>
        <v/>
      </c>
      <c r="C48" s="118" t="str">
        <f aca="false">IFERROR(IF(A48="","",IFERROR(INDEX(T_Employees[מחלקה],MATCH(A48,T_Employees[שם],0)),INDEX(T_Consultants[מחלקה],MATCH(A48,T_Consultants[שם יועץ],0)))),"")</f>
        <v/>
      </c>
      <c r="D48" s="119" t="str">
        <f aca="false">IFERROR(IF(A48="","",COUNTIFS(T_Assign[שם],A48,T_Assign[תאריך],"&gt;="&amp;$B$4,T_Assign[תאריך],"&lt;="&amp;$E$4)),0)</f>
        <v/>
      </c>
      <c r="E48" s="119" t="str">
        <f aca="false">IFERROR(IF(A48="","",D48),0)</f>
        <v/>
      </c>
      <c r="F48" s="119" t="str">
        <f aca="false">IFERROR(IF(A48="","",INT(D48/הגדרות!$C$14)),0)</f>
        <v/>
      </c>
      <c r="G48" s="120" t="str">
        <f aca="false">IFERROR(IF(A48="","",minifs(T_Assign[תאריך],T_Assign[שם],A48,T_Assign[תאריך],"&gt;="&amp;$B$4)),"")</f>
        <v/>
      </c>
      <c r="H48" s="120" t="str">
        <f aca="false">IFERROR(IF(A48="","",maxifs(T_Assign[תאריך],T_Assign[שם],A48,T_Assign[תאריך],"&lt;="&amp;$E$4)),"")</f>
        <v/>
      </c>
      <c r="I48" s="51" t="str">
        <f aca="false">IFERROR(IF(A48="","",IF(D48&gt;=הגדרות!$C$14,"⚡ עומס!","✓ תקין")),"")</f>
        <v/>
      </c>
      <c r="J48" s="72" t="str">
        <f aca="false">IFERROR(IF(A48="","",IF(D48&gt;=הגדרות!$C$14,D48&amp;" משמרות — "&amp;TEXT(G48,"DD/MM/YY")&amp;" עד "&amp;TEXT(H48,"DD/MM/YY"),"")),"")</f>
        <v/>
      </c>
    </row>
    <row r="49" customFormat="false" ht="15" hidden="false" customHeight="true" outlineLevel="0" collapsed="false">
      <c r="A49" s="112" t="str">
        <f aca="false">IFERROR(IF(נתוני_בסיס!$Y$45="","",נתוני_בסיס!$Y$45),"")</f>
        <v/>
      </c>
      <c r="B49" s="113" t="str">
        <f aca="false">IFERROR(IF(A49="","",IF(COUNTIF(T_Consultants[שם יועץ],A49)&gt;0,"יועץ","עובד")),"")</f>
        <v/>
      </c>
      <c r="C49" s="34" t="str">
        <f aca="false">IFERROR(IF(A49="","",IFERROR(INDEX(T_Employees[מחלקה],MATCH(A49,T_Employees[שם],0)),INDEX(T_Consultants[מחלקה],MATCH(A49,T_Consultants[שם יועץ],0)))),"")</f>
        <v/>
      </c>
      <c r="D49" s="114" t="str">
        <f aca="false">IFERROR(IF(A49="","",COUNTIFS(T_Assign[שם],A49,T_Assign[תאריך],"&gt;="&amp;$B$4,T_Assign[תאריך],"&lt;="&amp;$E$4)),0)</f>
        <v/>
      </c>
      <c r="E49" s="114" t="str">
        <f aca="false">IFERROR(IF(A49="","",D49),0)</f>
        <v/>
      </c>
      <c r="F49" s="114" t="str">
        <f aca="false">IFERROR(IF(A49="","",INT(D49/הגדרות!$C$14)),0)</f>
        <v/>
      </c>
      <c r="G49" s="115" t="str">
        <f aca="false">IFERROR(IF(A49="","",minifs(T_Assign[תאריך],T_Assign[שם],A49,T_Assign[תאריך],"&gt;="&amp;$B$4)),"")</f>
        <v/>
      </c>
      <c r="H49" s="115" t="str">
        <f aca="false">IFERROR(IF(A49="","",maxifs(T_Assign[תאריך],T_Assign[שם],A49,T_Assign[תאריך],"&lt;="&amp;$E$4)),"")</f>
        <v/>
      </c>
      <c r="I49" s="45" t="str">
        <f aca="false">IFERROR(IF(A49="","",IF(D49&gt;=הגדרות!$C$14,"⚡ עומס!","✓ תקין")),"")</f>
        <v/>
      </c>
      <c r="J49" s="20" t="str">
        <f aca="false">IFERROR(IF(A49="","",IF(D49&gt;=הגדרות!$C$14,D49&amp;" משמרות — "&amp;TEXT(G49,"DD/MM/YY")&amp;" עד "&amp;TEXT(H49,"DD/MM/YY"),"")),"")</f>
        <v/>
      </c>
    </row>
    <row r="50" customFormat="false" ht="15" hidden="false" customHeight="true" outlineLevel="0" collapsed="false">
      <c r="A50" s="116" t="str">
        <f aca="false">IFERROR(IF(נתוני_בסיס!$Y$46="","",נתוני_בסיס!$Y$46),"")</f>
        <v/>
      </c>
      <c r="B50" s="117" t="str">
        <f aca="false">IFERROR(IF(A50="","",IF(COUNTIF(T_Consultants[שם יועץ],A50)&gt;0,"יועץ","עובד")),"")</f>
        <v/>
      </c>
      <c r="C50" s="118" t="str">
        <f aca="false">IFERROR(IF(A50="","",IFERROR(INDEX(T_Employees[מחלקה],MATCH(A50,T_Employees[שם],0)),INDEX(T_Consultants[מחלקה],MATCH(A50,T_Consultants[שם יועץ],0)))),"")</f>
        <v/>
      </c>
      <c r="D50" s="119" t="str">
        <f aca="false">IFERROR(IF(A50="","",COUNTIFS(T_Assign[שם],A50,T_Assign[תאריך],"&gt;="&amp;$B$4,T_Assign[תאריך],"&lt;="&amp;$E$4)),0)</f>
        <v/>
      </c>
      <c r="E50" s="119" t="str">
        <f aca="false">IFERROR(IF(A50="","",D50),0)</f>
        <v/>
      </c>
      <c r="F50" s="119" t="str">
        <f aca="false">IFERROR(IF(A50="","",INT(D50/הגדרות!$C$14)),0)</f>
        <v/>
      </c>
      <c r="G50" s="120" t="str">
        <f aca="false">IFERROR(IF(A50="","",minifs(T_Assign[תאריך],T_Assign[שם],A50,T_Assign[תאריך],"&gt;="&amp;$B$4)),"")</f>
        <v/>
      </c>
      <c r="H50" s="120" t="str">
        <f aca="false">IFERROR(IF(A50="","",maxifs(T_Assign[תאריך],T_Assign[שם],A50,T_Assign[תאריך],"&lt;="&amp;$E$4)),"")</f>
        <v/>
      </c>
      <c r="I50" s="51" t="str">
        <f aca="false">IFERROR(IF(A50="","",IF(D50&gt;=הגדרות!$C$14,"⚡ עומס!","✓ תקין")),"")</f>
        <v/>
      </c>
      <c r="J50" s="72" t="str">
        <f aca="false">IFERROR(IF(A50="","",IF(D50&gt;=הגדרות!$C$14,D50&amp;" משמרות — "&amp;TEXT(G50,"DD/MM/YY")&amp;" עד "&amp;TEXT(H50,"DD/MM/YY"),"")),"")</f>
        <v/>
      </c>
    </row>
    <row r="51" customFormat="false" ht="15" hidden="false" customHeight="true" outlineLevel="0" collapsed="false">
      <c r="A51" s="112" t="str">
        <f aca="false">IFERROR(IF(נתוני_בסיס!$Y$47="","",נתוני_בסיס!$Y$47),"")</f>
        <v/>
      </c>
      <c r="B51" s="113" t="str">
        <f aca="false">IFERROR(IF(A51="","",IF(COUNTIF(T_Consultants[שם יועץ],A51)&gt;0,"יועץ","עובד")),"")</f>
        <v/>
      </c>
      <c r="C51" s="34" t="str">
        <f aca="false">IFERROR(IF(A51="","",IFERROR(INDEX(T_Employees[מחלקה],MATCH(A51,T_Employees[שם],0)),INDEX(T_Consultants[מחלקה],MATCH(A51,T_Consultants[שם יועץ],0)))),"")</f>
        <v/>
      </c>
      <c r="D51" s="114" t="str">
        <f aca="false">IFERROR(IF(A51="","",COUNTIFS(T_Assign[שם],A51,T_Assign[תאריך],"&gt;="&amp;$B$4,T_Assign[תאריך],"&lt;="&amp;$E$4)),0)</f>
        <v/>
      </c>
      <c r="E51" s="114" t="str">
        <f aca="false">IFERROR(IF(A51="","",D51),0)</f>
        <v/>
      </c>
      <c r="F51" s="114" t="str">
        <f aca="false">IFERROR(IF(A51="","",INT(D51/הגדרות!$C$14)),0)</f>
        <v/>
      </c>
      <c r="G51" s="115" t="str">
        <f aca="false">IFERROR(IF(A51="","",minifs(T_Assign[תאריך],T_Assign[שם],A51,T_Assign[תאריך],"&gt;="&amp;$B$4)),"")</f>
        <v/>
      </c>
      <c r="H51" s="115" t="str">
        <f aca="false">IFERROR(IF(A51="","",maxifs(T_Assign[תאריך],T_Assign[שם],A51,T_Assign[תאריך],"&lt;="&amp;$E$4)),"")</f>
        <v/>
      </c>
      <c r="I51" s="45" t="str">
        <f aca="false">IFERROR(IF(A51="","",IF(D51&gt;=הגדרות!$C$14,"⚡ עומס!","✓ תקין")),"")</f>
        <v/>
      </c>
      <c r="J51" s="20" t="str">
        <f aca="false">IFERROR(IF(A51="","",IF(D51&gt;=הגדרות!$C$14,D51&amp;" משמרות — "&amp;TEXT(G51,"DD/MM/YY")&amp;" עד "&amp;TEXT(H51,"DD/MM/YY"),"")),"")</f>
        <v/>
      </c>
    </row>
    <row r="52" customFormat="false" ht="15" hidden="false" customHeight="true" outlineLevel="0" collapsed="false">
      <c r="A52" s="116" t="str">
        <f aca="false">IFERROR(IF(נתוני_בסיס!$Y$48="","",נתוני_בסיס!$Y$48),"")</f>
        <v/>
      </c>
      <c r="B52" s="117" t="str">
        <f aca="false">IFERROR(IF(A52="","",IF(COUNTIF(T_Consultants[שם יועץ],A52)&gt;0,"יועץ","עובד")),"")</f>
        <v/>
      </c>
      <c r="C52" s="118" t="str">
        <f aca="false">IFERROR(IF(A52="","",IFERROR(INDEX(T_Employees[מחלקה],MATCH(A52,T_Employees[שם],0)),INDEX(T_Consultants[מחלקה],MATCH(A52,T_Consultants[שם יועץ],0)))),"")</f>
        <v/>
      </c>
      <c r="D52" s="119" t="str">
        <f aca="false">IFERROR(IF(A52="","",COUNTIFS(T_Assign[שם],A52,T_Assign[תאריך],"&gt;="&amp;$B$4,T_Assign[תאריך],"&lt;="&amp;$E$4)),0)</f>
        <v/>
      </c>
      <c r="E52" s="119" t="str">
        <f aca="false">IFERROR(IF(A52="","",D52),0)</f>
        <v/>
      </c>
      <c r="F52" s="119" t="str">
        <f aca="false">IFERROR(IF(A52="","",INT(D52/הגדרות!$C$14)),0)</f>
        <v/>
      </c>
      <c r="G52" s="120" t="str">
        <f aca="false">IFERROR(IF(A52="","",minifs(T_Assign[תאריך],T_Assign[שם],A52,T_Assign[תאריך],"&gt;="&amp;$B$4)),"")</f>
        <v/>
      </c>
      <c r="H52" s="120" t="str">
        <f aca="false">IFERROR(IF(A52="","",maxifs(T_Assign[תאריך],T_Assign[שם],A52,T_Assign[תאריך],"&lt;="&amp;$E$4)),"")</f>
        <v/>
      </c>
      <c r="I52" s="51" t="str">
        <f aca="false">IFERROR(IF(A52="","",IF(D52&gt;=הגדרות!$C$14,"⚡ עומס!","✓ תקין")),"")</f>
        <v/>
      </c>
      <c r="J52" s="72" t="str">
        <f aca="false">IFERROR(IF(A52="","",IF(D52&gt;=הגדרות!$C$14,D52&amp;" משמרות — "&amp;TEXT(G52,"DD/MM/YY")&amp;" עד "&amp;TEXT(H52,"DD/MM/YY"),"")),"")</f>
        <v/>
      </c>
    </row>
    <row r="53" customFormat="false" ht="15" hidden="false" customHeight="true" outlineLevel="0" collapsed="false">
      <c r="A53" s="112" t="str">
        <f aca="false">IFERROR(IF(נתוני_בסיס!$Y$49="","",נתוני_בסיס!$Y$49),"")</f>
        <v/>
      </c>
      <c r="B53" s="113" t="str">
        <f aca="false">IFERROR(IF(A53="","",IF(COUNTIF(T_Consultants[שם יועץ],A53)&gt;0,"יועץ","עובד")),"")</f>
        <v/>
      </c>
      <c r="C53" s="34" t="str">
        <f aca="false">IFERROR(IF(A53="","",IFERROR(INDEX(T_Employees[מחלקה],MATCH(A53,T_Employees[שם],0)),INDEX(T_Consultants[מחלקה],MATCH(A53,T_Consultants[שם יועץ],0)))),"")</f>
        <v/>
      </c>
      <c r="D53" s="114" t="str">
        <f aca="false">IFERROR(IF(A53="","",COUNTIFS(T_Assign[שם],A53,T_Assign[תאריך],"&gt;="&amp;$B$4,T_Assign[תאריך],"&lt;="&amp;$E$4)),0)</f>
        <v/>
      </c>
      <c r="E53" s="114" t="str">
        <f aca="false">IFERROR(IF(A53="","",D53),0)</f>
        <v/>
      </c>
      <c r="F53" s="114" t="str">
        <f aca="false">IFERROR(IF(A53="","",INT(D53/הגדרות!$C$14)),0)</f>
        <v/>
      </c>
      <c r="G53" s="115" t="str">
        <f aca="false">IFERROR(IF(A53="","",minifs(T_Assign[תאריך],T_Assign[שם],A53,T_Assign[תאריך],"&gt;="&amp;$B$4)),"")</f>
        <v/>
      </c>
      <c r="H53" s="115" t="str">
        <f aca="false">IFERROR(IF(A53="","",maxifs(T_Assign[תאריך],T_Assign[שם],A53,T_Assign[תאריך],"&lt;="&amp;$E$4)),"")</f>
        <v/>
      </c>
      <c r="I53" s="45" t="str">
        <f aca="false">IFERROR(IF(A53="","",IF(D53&gt;=הגדרות!$C$14,"⚡ עומס!","✓ תקין")),"")</f>
        <v/>
      </c>
      <c r="J53" s="20" t="str">
        <f aca="false">IFERROR(IF(A53="","",IF(D53&gt;=הגדרות!$C$14,D53&amp;" משמרות — "&amp;TEXT(G53,"DD/MM/YY")&amp;" עד "&amp;TEXT(H53,"DD/MM/YY"),"")),"")</f>
        <v/>
      </c>
    </row>
    <row r="54" customFormat="false" ht="15" hidden="false" customHeight="true" outlineLevel="0" collapsed="false">
      <c r="A54" s="116" t="str">
        <f aca="false">IFERROR(IF(נתוני_בסיס!$Y$50="","",נתוני_בסיס!$Y$50),"")</f>
        <v/>
      </c>
      <c r="B54" s="117" t="str">
        <f aca="false">IFERROR(IF(A54="","",IF(COUNTIF(T_Consultants[שם יועץ],A54)&gt;0,"יועץ","עובד")),"")</f>
        <v/>
      </c>
      <c r="C54" s="118" t="str">
        <f aca="false">IFERROR(IF(A54="","",IFERROR(INDEX(T_Employees[מחלקה],MATCH(A54,T_Employees[שם],0)),INDEX(T_Consultants[מחלקה],MATCH(A54,T_Consultants[שם יועץ],0)))),"")</f>
        <v/>
      </c>
      <c r="D54" s="119" t="str">
        <f aca="false">IFERROR(IF(A54="","",COUNTIFS(T_Assign[שם],A54,T_Assign[תאריך],"&gt;="&amp;$B$4,T_Assign[תאריך],"&lt;="&amp;$E$4)),0)</f>
        <v/>
      </c>
      <c r="E54" s="119" t="str">
        <f aca="false">IFERROR(IF(A54="","",D54),0)</f>
        <v/>
      </c>
      <c r="F54" s="119" t="str">
        <f aca="false">IFERROR(IF(A54="","",INT(D54/הגדרות!$C$14)),0)</f>
        <v/>
      </c>
      <c r="G54" s="120" t="str">
        <f aca="false">IFERROR(IF(A54="","",minifs(T_Assign[תאריך],T_Assign[שם],A54,T_Assign[תאריך],"&gt;="&amp;$B$4)),"")</f>
        <v/>
      </c>
      <c r="H54" s="120" t="str">
        <f aca="false">IFERROR(IF(A54="","",maxifs(T_Assign[תאריך],T_Assign[שם],A54,T_Assign[תאריך],"&lt;="&amp;$E$4)),"")</f>
        <v/>
      </c>
      <c r="I54" s="51" t="str">
        <f aca="false">IFERROR(IF(A54="","",IF(D54&gt;=הגדרות!$C$14,"⚡ עומס!","✓ תקין")),"")</f>
        <v/>
      </c>
      <c r="J54" s="72" t="str">
        <f aca="false">IFERROR(IF(A54="","",IF(D54&gt;=הגדרות!$C$14,D54&amp;" משמרות — "&amp;TEXT(G54,"DD/MM/YY")&amp;" עד "&amp;TEXT(H54,"DD/MM/YY"),"")),"")</f>
        <v/>
      </c>
    </row>
    <row r="55" customFormat="false" ht="15" hidden="false" customHeight="true" outlineLevel="0" collapsed="false">
      <c r="A55" s="112" t="str">
        <f aca="false">IFERROR(IF(נתוני_בסיס!$Y$51="","",נתוני_בסיס!$Y$51),"")</f>
        <v/>
      </c>
      <c r="B55" s="113" t="str">
        <f aca="false">IFERROR(IF(A55="","",IF(COUNTIF(T_Consultants[שם יועץ],A55)&gt;0,"יועץ","עובד")),"")</f>
        <v/>
      </c>
      <c r="C55" s="34" t="str">
        <f aca="false">IFERROR(IF(A55="","",IFERROR(INDEX(T_Employees[מחלקה],MATCH(A55,T_Employees[שם],0)),INDEX(T_Consultants[מחלקה],MATCH(A55,T_Consultants[שם יועץ],0)))),"")</f>
        <v/>
      </c>
      <c r="D55" s="114" t="str">
        <f aca="false">IFERROR(IF(A55="","",COUNTIFS(T_Assign[שם],A55,T_Assign[תאריך],"&gt;="&amp;$B$4,T_Assign[תאריך],"&lt;="&amp;$E$4)),0)</f>
        <v/>
      </c>
      <c r="E55" s="114" t="str">
        <f aca="false">IFERROR(IF(A55="","",D55),0)</f>
        <v/>
      </c>
      <c r="F55" s="114" t="str">
        <f aca="false">IFERROR(IF(A55="","",INT(D55/הגדרות!$C$14)),0)</f>
        <v/>
      </c>
      <c r="G55" s="115" t="str">
        <f aca="false">IFERROR(IF(A55="","",minifs(T_Assign[תאריך],T_Assign[שם],A55,T_Assign[תאריך],"&gt;="&amp;$B$4)),"")</f>
        <v/>
      </c>
      <c r="H55" s="115" t="str">
        <f aca="false">IFERROR(IF(A55="","",maxifs(T_Assign[תאריך],T_Assign[שם],A55,T_Assign[תאריך],"&lt;="&amp;$E$4)),"")</f>
        <v/>
      </c>
      <c r="I55" s="45" t="str">
        <f aca="false">IFERROR(IF(A55="","",IF(D55&gt;=הגדרות!$C$14,"⚡ עומס!","✓ תקין")),"")</f>
        <v/>
      </c>
      <c r="J55" s="20" t="str">
        <f aca="false">IFERROR(IF(A55="","",IF(D55&gt;=הגדרות!$C$14,D55&amp;" משמרות — "&amp;TEXT(G55,"DD/MM/YY")&amp;" עד "&amp;TEXT(H55,"DD/MM/YY"),"")),"")</f>
        <v/>
      </c>
    </row>
    <row r="56" customFormat="false" ht="15" hidden="false" customHeight="true" outlineLevel="0" collapsed="false">
      <c r="A56" s="116" t="str">
        <f aca="false">IFERROR(IF(נתוני_בסיס!$Y$52="","",נתוני_בסיס!$Y$52),"")</f>
        <v/>
      </c>
      <c r="B56" s="117" t="str">
        <f aca="false">IFERROR(IF(A56="","",IF(COUNTIF(T_Consultants[שם יועץ],A56)&gt;0,"יועץ","עובד")),"")</f>
        <v/>
      </c>
      <c r="C56" s="118" t="str">
        <f aca="false">IFERROR(IF(A56="","",IFERROR(INDEX(T_Employees[מחלקה],MATCH(A56,T_Employees[שם],0)),INDEX(T_Consultants[מחלקה],MATCH(A56,T_Consultants[שם יועץ],0)))),"")</f>
        <v/>
      </c>
      <c r="D56" s="119" t="str">
        <f aca="false">IFERROR(IF(A56="","",COUNTIFS(T_Assign[שם],A56,T_Assign[תאריך],"&gt;="&amp;$B$4,T_Assign[תאריך],"&lt;="&amp;$E$4)),0)</f>
        <v/>
      </c>
      <c r="E56" s="119" t="str">
        <f aca="false">IFERROR(IF(A56="","",D56),0)</f>
        <v/>
      </c>
      <c r="F56" s="119" t="str">
        <f aca="false">IFERROR(IF(A56="","",INT(D56/הגדרות!$C$14)),0)</f>
        <v/>
      </c>
      <c r="G56" s="120" t="str">
        <f aca="false">IFERROR(IF(A56="","",minifs(T_Assign[תאריך],T_Assign[שם],A56,T_Assign[תאריך],"&gt;="&amp;$B$4)),"")</f>
        <v/>
      </c>
      <c r="H56" s="120" t="str">
        <f aca="false">IFERROR(IF(A56="","",maxifs(T_Assign[תאריך],T_Assign[שם],A56,T_Assign[תאריך],"&lt;="&amp;$E$4)),"")</f>
        <v/>
      </c>
      <c r="I56" s="51" t="str">
        <f aca="false">IFERROR(IF(A56="","",IF(D56&gt;=הגדרות!$C$14,"⚡ עומס!","✓ תקין")),"")</f>
        <v/>
      </c>
      <c r="J56" s="72" t="str">
        <f aca="false">IFERROR(IF(A56="","",IF(D56&gt;=הגדרות!$C$14,D56&amp;" משמרות — "&amp;TEXT(G56,"DD/MM/YY")&amp;" עד "&amp;TEXT(H56,"DD/MM/YY"),"")),"")</f>
        <v/>
      </c>
    </row>
  </sheetData>
  <mergeCells count="2">
    <mergeCell ref="A1:J1"/>
    <mergeCell ref="A2:J2"/>
  </mergeCells>
  <conditionalFormatting sqref="A7:J7">
    <cfRule type="expression" priority="2" aboveAverage="0" equalAverage="0" bottom="0" percent="0" rank="0" text="" dxfId="14">
      <formula>$D7&gt;=הגדרות!$C$14</formula>
    </cfRule>
  </conditionalFormatting>
  <conditionalFormatting sqref="I7">
    <cfRule type="expression" priority="3" aboveAverage="0" equalAverage="0" bottom="0" percent="0" rank="0" text="" dxfId="12">
      <formula>I7="⚡ עומס!"</formula>
    </cfRule>
  </conditionalFormatting>
  <conditionalFormatting sqref="A8:J8">
    <cfRule type="expression" priority="4" aboveAverage="0" equalAverage="0" bottom="0" percent="0" rank="0" text="" dxfId="14">
      <formula>$D8&gt;=הגדרות!$C$14</formula>
    </cfRule>
  </conditionalFormatting>
  <conditionalFormatting sqref="I8">
    <cfRule type="expression" priority="5" aboveAverage="0" equalAverage="0" bottom="0" percent="0" rank="0" text="" dxfId="12">
      <formula>I8="⚡ עומס!"</formula>
    </cfRule>
  </conditionalFormatting>
  <conditionalFormatting sqref="A9:J9">
    <cfRule type="expression" priority="6" aboveAverage="0" equalAverage="0" bottom="0" percent="0" rank="0" text="" dxfId="14">
      <formula>$D9&gt;=הגדרות!$C$14</formula>
    </cfRule>
  </conditionalFormatting>
  <conditionalFormatting sqref="I9">
    <cfRule type="expression" priority="7" aboveAverage="0" equalAverage="0" bottom="0" percent="0" rank="0" text="" dxfId="12">
      <formula>I9="⚡ עומס!"</formula>
    </cfRule>
  </conditionalFormatting>
  <conditionalFormatting sqref="A10:J10">
    <cfRule type="expression" priority="8" aboveAverage="0" equalAverage="0" bottom="0" percent="0" rank="0" text="" dxfId="14">
      <formula>$D10&gt;=הגדרות!$C$14</formula>
    </cfRule>
  </conditionalFormatting>
  <conditionalFormatting sqref="I10">
    <cfRule type="expression" priority="9" aboveAverage="0" equalAverage="0" bottom="0" percent="0" rank="0" text="" dxfId="12">
      <formula>I10="⚡ עומס!"</formula>
    </cfRule>
  </conditionalFormatting>
  <conditionalFormatting sqref="A11:J11">
    <cfRule type="expression" priority="10" aboveAverage="0" equalAverage="0" bottom="0" percent="0" rank="0" text="" dxfId="14">
      <formula>$D11&gt;=הגדרות!$C$14</formula>
    </cfRule>
  </conditionalFormatting>
  <conditionalFormatting sqref="I11">
    <cfRule type="expression" priority="11" aboveAverage="0" equalAverage="0" bottom="0" percent="0" rank="0" text="" dxfId="12">
      <formula>I11="⚡ עומס!"</formula>
    </cfRule>
  </conditionalFormatting>
  <conditionalFormatting sqref="A12:J12">
    <cfRule type="expression" priority="12" aboveAverage="0" equalAverage="0" bottom="0" percent="0" rank="0" text="" dxfId="14">
      <formula>$D12&gt;=הגדרות!$C$14</formula>
    </cfRule>
  </conditionalFormatting>
  <conditionalFormatting sqref="I12">
    <cfRule type="expression" priority="13" aboveAverage="0" equalAverage="0" bottom="0" percent="0" rank="0" text="" dxfId="12">
      <formula>I12="⚡ עומס!"</formula>
    </cfRule>
  </conditionalFormatting>
  <conditionalFormatting sqref="A13:J13">
    <cfRule type="expression" priority="14" aboveAverage="0" equalAverage="0" bottom="0" percent="0" rank="0" text="" dxfId="14">
      <formula>$D13&gt;=הגדרות!$C$14</formula>
    </cfRule>
  </conditionalFormatting>
  <conditionalFormatting sqref="I13">
    <cfRule type="expression" priority="15" aboveAverage="0" equalAverage="0" bottom="0" percent="0" rank="0" text="" dxfId="12">
      <formula>I13="⚡ עומס!"</formula>
    </cfRule>
  </conditionalFormatting>
  <conditionalFormatting sqref="A14:J14">
    <cfRule type="expression" priority="16" aboveAverage="0" equalAverage="0" bottom="0" percent="0" rank="0" text="" dxfId="14">
      <formula>$D14&gt;=הגדרות!$C$14</formula>
    </cfRule>
  </conditionalFormatting>
  <conditionalFormatting sqref="I14">
    <cfRule type="expression" priority="17" aboveAverage="0" equalAverage="0" bottom="0" percent="0" rank="0" text="" dxfId="12">
      <formula>I14="⚡ עומס!"</formula>
    </cfRule>
  </conditionalFormatting>
  <conditionalFormatting sqref="A15:J15">
    <cfRule type="expression" priority="18" aboveAverage="0" equalAverage="0" bottom="0" percent="0" rank="0" text="" dxfId="14">
      <formula>$D15&gt;=הגדרות!$C$14</formula>
    </cfRule>
  </conditionalFormatting>
  <conditionalFormatting sqref="I15">
    <cfRule type="expression" priority="19" aboveAverage="0" equalAverage="0" bottom="0" percent="0" rank="0" text="" dxfId="12">
      <formula>I15="⚡ עומס!"</formula>
    </cfRule>
  </conditionalFormatting>
  <conditionalFormatting sqref="A16:J16">
    <cfRule type="expression" priority="20" aboveAverage="0" equalAverage="0" bottom="0" percent="0" rank="0" text="" dxfId="14">
      <formula>$D16&gt;=הגדרות!$C$14</formula>
    </cfRule>
  </conditionalFormatting>
  <conditionalFormatting sqref="I16">
    <cfRule type="expression" priority="21" aboveAverage="0" equalAverage="0" bottom="0" percent="0" rank="0" text="" dxfId="12">
      <formula>I16="⚡ עומס!"</formula>
    </cfRule>
  </conditionalFormatting>
  <conditionalFormatting sqref="A17:J17">
    <cfRule type="expression" priority="22" aboveAverage="0" equalAverage="0" bottom="0" percent="0" rank="0" text="" dxfId="14">
      <formula>$D17&gt;=הגדרות!$C$14</formula>
    </cfRule>
  </conditionalFormatting>
  <conditionalFormatting sqref="I17">
    <cfRule type="expression" priority="23" aboveAverage="0" equalAverage="0" bottom="0" percent="0" rank="0" text="" dxfId="12">
      <formula>I17="⚡ עומס!"</formula>
    </cfRule>
  </conditionalFormatting>
  <conditionalFormatting sqref="A18:J18">
    <cfRule type="expression" priority="24" aboveAverage="0" equalAverage="0" bottom="0" percent="0" rank="0" text="" dxfId="14">
      <formula>$D18&gt;=הגדרות!$C$14</formula>
    </cfRule>
  </conditionalFormatting>
  <conditionalFormatting sqref="I18">
    <cfRule type="expression" priority="25" aboveAverage="0" equalAverage="0" bottom="0" percent="0" rank="0" text="" dxfId="12">
      <formula>I18="⚡ עומס!"</formula>
    </cfRule>
  </conditionalFormatting>
  <conditionalFormatting sqref="A19:J19">
    <cfRule type="expression" priority="26" aboveAverage="0" equalAverage="0" bottom="0" percent="0" rank="0" text="" dxfId="14">
      <formula>$D19&gt;=הגדרות!$C$14</formula>
    </cfRule>
  </conditionalFormatting>
  <conditionalFormatting sqref="I19">
    <cfRule type="expression" priority="27" aboveAverage="0" equalAverage="0" bottom="0" percent="0" rank="0" text="" dxfId="12">
      <formula>I19="⚡ עומס!"</formula>
    </cfRule>
  </conditionalFormatting>
  <conditionalFormatting sqref="A20:J20">
    <cfRule type="expression" priority="28" aboveAverage="0" equalAverage="0" bottom="0" percent="0" rank="0" text="" dxfId="14">
      <formula>$D20&gt;=הגדרות!$C$14</formula>
    </cfRule>
  </conditionalFormatting>
  <conditionalFormatting sqref="I20">
    <cfRule type="expression" priority="29" aboveAverage="0" equalAverage="0" bottom="0" percent="0" rank="0" text="" dxfId="12">
      <formula>I20="⚡ עומס!"</formula>
    </cfRule>
  </conditionalFormatting>
  <conditionalFormatting sqref="A21:J21">
    <cfRule type="expression" priority="30" aboveAverage="0" equalAverage="0" bottom="0" percent="0" rank="0" text="" dxfId="14">
      <formula>$D21&gt;=הגדרות!$C$14</formula>
    </cfRule>
  </conditionalFormatting>
  <conditionalFormatting sqref="I21">
    <cfRule type="expression" priority="31" aboveAverage="0" equalAverage="0" bottom="0" percent="0" rank="0" text="" dxfId="12">
      <formula>I21="⚡ עומס!"</formula>
    </cfRule>
  </conditionalFormatting>
  <conditionalFormatting sqref="A22:J22">
    <cfRule type="expression" priority="32" aboveAverage="0" equalAverage="0" bottom="0" percent="0" rank="0" text="" dxfId="14">
      <formula>$D22&gt;=הגדרות!$C$14</formula>
    </cfRule>
  </conditionalFormatting>
  <conditionalFormatting sqref="I22">
    <cfRule type="expression" priority="33" aboveAverage="0" equalAverage="0" bottom="0" percent="0" rank="0" text="" dxfId="12">
      <formula>I22="⚡ עומס!"</formula>
    </cfRule>
  </conditionalFormatting>
  <conditionalFormatting sqref="A23:J23">
    <cfRule type="expression" priority="34" aboveAverage="0" equalAverage="0" bottom="0" percent="0" rank="0" text="" dxfId="14">
      <formula>$D23&gt;=הגדרות!$C$14</formula>
    </cfRule>
  </conditionalFormatting>
  <conditionalFormatting sqref="I23">
    <cfRule type="expression" priority="35" aboveAverage="0" equalAverage="0" bottom="0" percent="0" rank="0" text="" dxfId="12">
      <formula>I23="⚡ עומס!"</formula>
    </cfRule>
  </conditionalFormatting>
  <conditionalFormatting sqref="A24:J24">
    <cfRule type="expression" priority="36" aboveAverage="0" equalAverage="0" bottom="0" percent="0" rank="0" text="" dxfId="14">
      <formula>$D24&gt;=הגדרות!$C$14</formula>
    </cfRule>
  </conditionalFormatting>
  <conditionalFormatting sqref="I24">
    <cfRule type="expression" priority="37" aboveAverage="0" equalAverage="0" bottom="0" percent="0" rank="0" text="" dxfId="12">
      <formula>I24="⚡ עומס!"</formula>
    </cfRule>
  </conditionalFormatting>
  <conditionalFormatting sqref="A25:J25">
    <cfRule type="expression" priority="38" aboveAverage="0" equalAverage="0" bottom="0" percent="0" rank="0" text="" dxfId="14">
      <formula>$D25&gt;=הגדרות!$C$14</formula>
    </cfRule>
  </conditionalFormatting>
  <conditionalFormatting sqref="I25">
    <cfRule type="expression" priority="39" aboveAverage="0" equalAverage="0" bottom="0" percent="0" rank="0" text="" dxfId="12">
      <formula>I25="⚡ עומס!"</formula>
    </cfRule>
  </conditionalFormatting>
  <conditionalFormatting sqref="A26:J26">
    <cfRule type="expression" priority="40" aboveAverage="0" equalAverage="0" bottom="0" percent="0" rank="0" text="" dxfId="14">
      <formula>$D26&gt;=הגדרות!$C$14</formula>
    </cfRule>
  </conditionalFormatting>
  <conditionalFormatting sqref="I26">
    <cfRule type="expression" priority="41" aboveAverage="0" equalAverage="0" bottom="0" percent="0" rank="0" text="" dxfId="12">
      <formula>I26="⚡ עומס!"</formula>
    </cfRule>
  </conditionalFormatting>
  <conditionalFormatting sqref="A27:J27">
    <cfRule type="expression" priority="42" aboveAverage="0" equalAverage="0" bottom="0" percent="0" rank="0" text="" dxfId="14">
      <formula>$D27&gt;=הגדרות!$C$14</formula>
    </cfRule>
  </conditionalFormatting>
  <conditionalFormatting sqref="I27">
    <cfRule type="expression" priority="43" aboveAverage="0" equalAverage="0" bottom="0" percent="0" rank="0" text="" dxfId="12">
      <formula>I27="⚡ עומס!"</formula>
    </cfRule>
  </conditionalFormatting>
  <conditionalFormatting sqref="A28:J28">
    <cfRule type="expression" priority="44" aboveAverage="0" equalAverage="0" bottom="0" percent="0" rank="0" text="" dxfId="14">
      <formula>$D28&gt;=הגדרות!$C$14</formula>
    </cfRule>
  </conditionalFormatting>
  <conditionalFormatting sqref="I28">
    <cfRule type="expression" priority="45" aboveAverage="0" equalAverage="0" bottom="0" percent="0" rank="0" text="" dxfId="12">
      <formula>I28="⚡ עומס!"</formula>
    </cfRule>
  </conditionalFormatting>
  <conditionalFormatting sqref="A29:J29">
    <cfRule type="expression" priority="46" aboveAverage="0" equalAverage="0" bottom="0" percent="0" rank="0" text="" dxfId="14">
      <formula>$D29&gt;=הגדרות!$C$14</formula>
    </cfRule>
  </conditionalFormatting>
  <conditionalFormatting sqref="I29">
    <cfRule type="expression" priority="47" aboveAverage="0" equalAverage="0" bottom="0" percent="0" rank="0" text="" dxfId="12">
      <formula>I29="⚡ עומס!"</formula>
    </cfRule>
  </conditionalFormatting>
  <conditionalFormatting sqref="A30:J30">
    <cfRule type="expression" priority="48" aboveAverage="0" equalAverage="0" bottom="0" percent="0" rank="0" text="" dxfId="14">
      <formula>$D30&gt;=הגדרות!$C$14</formula>
    </cfRule>
  </conditionalFormatting>
  <conditionalFormatting sqref="I30">
    <cfRule type="expression" priority="49" aboveAverage="0" equalAverage="0" bottom="0" percent="0" rank="0" text="" dxfId="12">
      <formula>I30="⚡ עומס!"</formula>
    </cfRule>
  </conditionalFormatting>
  <conditionalFormatting sqref="A31:J31">
    <cfRule type="expression" priority="50" aboveAverage="0" equalAverage="0" bottom="0" percent="0" rank="0" text="" dxfId="14">
      <formula>$D31&gt;=הגדרות!$C$14</formula>
    </cfRule>
  </conditionalFormatting>
  <conditionalFormatting sqref="I31">
    <cfRule type="expression" priority="51" aboveAverage="0" equalAverage="0" bottom="0" percent="0" rank="0" text="" dxfId="12">
      <formula>I31="⚡ עומס!"</formula>
    </cfRule>
  </conditionalFormatting>
  <conditionalFormatting sqref="A32:J32">
    <cfRule type="expression" priority="52" aboveAverage="0" equalAverage="0" bottom="0" percent="0" rank="0" text="" dxfId="14">
      <formula>$D32&gt;=הגדרות!$C$14</formula>
    </cfRule>
  </conditionalFormatting>
  <conditionalFormatting sqref="I32">
    <cfRule type="expression" priority="53" aboveAverage="0" equalAverage="0" bottom="0" percent="0" rank="0" text="" dxfId="12">
      <formula>I32="⚡ עומס!"</formula>
    </cfRule>
  </conditionalFormatting>
  <conditionalFormatting sqref="A33:J33">
    <cfRule type="expression" priority="54" aboveAverage="0" equalAverage="0" bottom="0" percent="0" rank="0" text="" dxfId="14">
      <formula>$D33&gt;=הגדרות!$C$14</formula>
    </cfRule>
  </conditionalFormatting>
  <conditionalFormatting sqref="I33">
    <cfRule type="expression" priority="55" aboveAverage="0" equalAverage="0" bottom="0" percent="0" rank="0" text="" dxfId="12">
      <formula>I33="⚡ עומס!"</formula>
    </cfRule>
  </conditionalFormatting>
  <conditionalFormatting sqref="A34:J34">
    <cfRule type="expression" priority="56" aboveAverage="0" equalAverage="0" bottom="0" percent="0" rank="0" text="" dxfId="14">
      <formula>$D34&gt;=הגדרות!$C$14</formula>
    </cfRule>
  </conditionalFormatting>
  <conditionalFormatting sqref="I34">
    <cfRule type="expression" priority="57" aboveAverage="0" equalAverage="0" bottom="0" percent="0" rank="0" text="" dxfId="12">
      <formula>I34="⚡ עומס!"</formula>
    </cfRule>
  </conditionalFormatting>
  <conditionalFormatting sqref="A35:J35">
    <cfRule type="expression" priority="58" aboveAverage="0" equalAverage="0" bottom="0" percent="0" rank="0" text="" dxfId="14">
      <formula>$D35&gt;=הגדרות!$C$14</formula>
    </cfRule>
  </conditionalFormatting>
  <conditionalFormatting sqref="I35">
    <cfRule type="expression" priority="59" aboveAverage="0" equalAverage="0" bottom="0" percent="0" rank="0" text="" dxfId="12">
      <formula>I35="⚡ עומס!"</formula>
    </cfRule>
  </conditionalFormatting>
  <conditionalFormatting sqref="A36:J36">
    <cfRule type="expression" priority="60" aboveAverage="0" equalAverage="0" bottom="0" percent="0" rank="0" text="" dxfId="14">
      <formula>$D36&gt;=הגדרות!$C$14</formula>
    </cfRule>
  </conditionalFormatting>
  <conditionalFormatting sqref="I36">
    <cfRule type="expression" priority="61" aboveAverage="0" equalAverage="0" bottom="0" percent="0" rank="0" text="" dxfId="12">
      <formula>I36="⚡ עומס!"</formula>
    </cfRule>
  </conditionalFormatting>
  <conditionalFormatting sqref="A37:J37">
    <cfRule type="expression" priority="62" aboveAverage="0" equalAverage="0" bottom="0" percent="0" rank="0" text="" dxfId="14">
      <formula>$D37&gt;=הגדרות!$C$14</formula>
    </cfRule>
  </conditionalFormatting>
  <conditionalFormatting sqref="I37">
    <cfRule type="expression" priority="63" aboveAverage="0" equalAverage="0" bottom="0" percent="0" rank="0" text="" dxfId="12">
      <formula>I37="⚡ עומס!"</formula>
    </cfRule>
  </conditionalFormatting>
  <conditionalFormatting sqref="A38:J38">
    <cfRule type="expression" priority="64" aboveAverage="0" equalAverage="0" bottom="0" percent="0" rank="0" text="" dxfId="14">
      <formula>$D38&gt;=הגדרות!$C$14</formula>
    </cfRule>
  </conditionalFormatting>
  <conditionalFormatting sqref="I38">
    <cfRule type="expression" priority="65" aboveAverage="0" equalAverage="0" bottom="0" percent="0" rank="0" text="" dxfId="12">
      <formula>I38="⚡ עומס!"</formula>
    </cfRule>
  </conditionalFormatting>
  <conditionalFormatting sqref="A39:J39">
    <cfRule type="expression" priority="66" aboveAverage="0" equalAverage="0" bottom="0" percent="0" rank="0" text="" dxfId="14">
      <formula>$D39&gt;=הגדרות!$C$14</formula>
    </cfRule>
  </conditionalFormatting>
  <conditionalFormatting sqref="I39">
    <cfRule type="expression" priority="67" aboveAverage="0" equalAverage="0" bottom="0" percent="0" rank="0" text="" dxfId="12">
      <formula>I39="⚡ עומס!"</formula>
    </cfRule>
  </conditionalFormatting>
  <conditionalFormatting sqref="A40:J40">
    <cfRule type="expression" priority="68" aboveAverage="0" equalAverage="0" bottom="0" percent="0" rank="0" text="" dxfId="14">
      <formula>$D40&gt;=הגדרות!$C$14</formula>
    </cfRule>
  </conditionalFormatting>
  <conditionalFormatting sqref="I40">
    <cfRule type="expression" priority="69" aboveAverage="0" equalAverage="0" bottom="0" percent="0" rank="0" text="" dxfId="12">
      <formula>I40="⚡ עומס!"</formula>
    </cfRule>
  </conditionalFormatting>
  <conditionalFormatting sqref="A41:J41">
    <cfRule type="expression" priority="70" aboveAverage="0" equalAverage="0" bottom="0" percent="0" rank="0" text="" dxfId="14">
      <formula>$D41&gt;=הגדרות!$C$14</formula>
    </cfRule>
  </conditionalFormatting>
  <conditionalFormatting sqref="I41">
    <cfRule type="expression" priority="71" aboveAverage="0" equalAverage="0" bottom="0" percent="0" rank="0" text="" dxfId="12">
      <formula>I41="⚡ עומס!"</formula>
    </cfRule>
  </conditionalFormatting>
  <conditionalFormatting sqref="A42:J42">
    <cfRule type="expression" priority="72" aboveAverage="0" equalAverage="0" bottom="0" percent="0" rank="0" text="" dxfId="14">
      <formula>$D42&gt;=הגדרות!$C$14</formula>
    </cfRule>
  </conditionalFormatting>
  <conditionalFormatting sqref="I42">
    <cfRule type="expression" priority="73" aboveAverage="0" equalAverage="0" bottom="0" percent="0" rank="0" text="" dxfId="12">
      <formula>I42="⚡ עומס!"</formula>
    </cfRule>
  </conditionalFormatting>
  <conditionalFormatting sqref="A43:J43">
    <cfRule type="expression" priority="74" aboveAverage="0" equalAverage="0" bottom="0" percent="0" rank="0" text="" dxfId="14">
      <formula>$D43&gt;=הגדרות!$C$14</formula>
    </cfRule>
  </conditionalFormatting>
  <conditionalFormatting sqref="I43">
    <cfRule type="expression" priority="75" aboveAverage="0" equalAverage="0" bottom="0" percent="0" rank="0" text="" dxfId="12">
      <formula>I43="⚡ עומס!"</formula>
    </cfRule>
  </conditionalFormatting>
  <conditionalFormatting sqref="A44:J44">
    <cfRule type="expression" priority="76" aboveAverage="0" equalAverage="0" bottom="0" percent="0" rank="0" text="" dxfId="14">
      <formula>$D44&gt;=הגדרות!$C$14</formula>
    </cfRule>
  </conditionalFormatting>
  <conditionalFormatting sqref="I44">
    <cfRule type="expression" priority="77" aboveAverage="0" equalAverage="0" bottom="0" percent="0" rank="0" text="" dxfId="12">
      <formula>I44="⚡ עומס!"</formula>
    </cfRule>
  </conditionalFormatting>
  <conditionalFormatting sqref="A45:J45">
    <cfRule type="expression" priority="78" aboveAverage="0" equalAverage="0" bottom="0" percent="0" rank="0" text="" dxfId="14">
      <formula>$D45&gt;=הגדרות!$C$14</formula>
    </cfRule>
  </conditionalFormatting>
  <conditionalFormatting sqref="I45">
    <cfRule type="expression" priority="79" aboveAverage="0" equalAverage="0" bottom="0" percent="0" rank="0" text="" dxfId="12">
      <formula>I45="⚡ עומס!"</formula>
    </cfRule>
  </conditionalFormatting>
  <conditionalFormatting sqref="A46:J46">
    <cfRule type="expression" priority="80" aboveAverage="0" equalAverage="0" bottom="0" percent="0" rank="0" text="" dxfId="14">
      <formula>$D46&gt;=הגדרות!$C$14</formula>
    </cfRule>
  </conditionalFormatting>
  <conditionalFormatting sqref="I46">
    <cfRule type="expression" priority="81" aboveAverage="0" equalAverage="0" bottom="0" percent="0" rank="0" text="" dxfId="12">
      <formula>I46="⚡ עומס!"</formula>
    </cfRule>
  </conditionalFormatting>
  <conditionalFormatting sqref="A47:J47">
    <cfRule type="expression" priority="82" aboveAverage="0" equalAverage="0" bottom="0" percent="0" rank="0" text="" dxfId="14">
      <formula>$D47&gt;=הגדרות!$C$14</formula>
    </cfRule>
  </conditionalFormatting>
  <conditionalFormatting sqref="I47">
    <cfRule type="expression" priority="83" aboveAverage="0" equalAverage="0" bottom="0" percent="0" rank="0" text="" dxfId="12">
      <formula>I47="⚡ עומס!"</formula>
    </cfRule>
  </conditionalFormatting>
  <conditionalFormatting sqref="A48:J48">
    <cfRule type="expression" priority="84" aboveAverage="0" equalAverage="0" bottom="0" percent="0" rank="0" text="" dxfId="14">
      <formula>$D48&gt;=הגדרות!$C$14</formula>
    </cfRule>
  </conditionalFormatting>
  <conditionalFormatting sqref="I48">
    <cfRule type="expression" priority="85" aboveAverage="0" equalAverage="0" bottom="0" percent="0" rank="0" text="" dxfId="12">
      <formula>I48="⚡ עומס!"</formula>
    </cfRule>
  </conditionalFormatting>
  <conditionalFormatting sqref="A49:J49">
    <cfRule type="expression" priority="86" aboveAverage="0" equalAverage="0" bottom="0" percent="0" rank="0" text="" dxfId="14">
      <formula>$D49&gt;=הגדרות!$C$14</formula>
    </cfRule>
  </conditionalFormatting>
  <conditionalFormatting sqref="I49">
    <cfRule type="expression" priority="87" aboveAverage="0" equalAverage="0" bottom="0" percent="0" rank="0" text="" dxfId="12">
      <formula>I49="⚡ עומס!"</formula>
    </cfRule>
  </conditionalFormatting>
  <conditionalFormatting sqref="A50:J50">
    <cfRule type="expression" priority="88" aboveAverage="0" equalAverage="0" bottom="0" percent="0" rank="0" text="" dxfId="14">
      <formula>$D50&gt;=הגדרות!$C$14</formula>
    </cfRule>
  </conditionalFormatting>
  <conditionalFormatting sqref="I50">
    <cfRule type="expression" priority="89" aboveAverage="0" equalAverage="0" bottom="0" percent="0" rank="0" text="" dxfId="12">
      <formula>I50="⚡ עומס!"</formula>
    </cfRule>
  </conditionalFormatting>
  <conditionalFormatting sqref="A51:J51">
    <cfRule type="expression" priority="90" aboveAverage="0" equalAverage="0" bottom="0" percent="0" rank="0" text="" dxfId="14">
      <formula>$D51&gt;=הגדרות!$C$14</formula>
    </cfRule>
  </conditionalFormatting>
  <conditionalFormatting sqref="I51">
    <cfRule type="expression" priority="91" aboveAverage="0" equalAverage="0" bottom="0" percent="0" rank="0" text="" dxfId="12">
      <formula>I51="⚡ עומס!"</formula>
    </cfRule>
  </conditionalFormatting>
  <conditionalFormatting sqref="A52:J52">
    <cfRule type="expression" priority="92" aboveAverage="0" equalAverage="0" bottom="0" percent="0" rank="0" text="" dxfId="14">
      <formula>$D52&gt;=הגדרות!$C$14</formula>
    </cfRule>
  </conditionalFormatting>
  <conditionalFormatting sqref="I52">
    <cfRule type="expression" priority="93" aboveAverage="0" equalAverage="0" bottom="0" percent="0" rank="0" text="" dxfId="12">
      <formula>I52="⚡ עומס!"</formula>
    </cfRule>
  </conditionalFormatting>
  <conditionalFormatting sqref="A53:J53">
    <cfRule type="expression" priority="94" aboveAverage="0" equalAverage="0" bottom="0" percent="0" rank="0" text="" dxfId="14">
      <formula>$D53&gt;=הגדרות!$C$14</formula>
    </cfRule>
  </conditionalFormatting>
  <conditionalFormatting sqref="I53">
    <cfRule type="expression" priority="95" aboveAverage="0" equalAverage="0" bottom="0" percent="0" rank="0" text="" dxfId="12">
      <formula>I53="⚡ עומס!"</formula>
    </cfRule>
  </conditionalFormatting>
  <conditionalFormatting sqref="A54:J54">
    <cfRule type="expression" priority="96" aboveAverage="0" equalAverage="0" bottom="0" percent="0" rank="0" text="" dxfId="14">
      <formula>$D54&gt;=הגדרות!$C$14</formula>
    </cfRule>
  </conditionalFormatting>
  <conditionalFormatting sqref="I54">
    <cfRule type="expression" priority="97" aboveAverage="0" equalAverage="0" bottom="0" percent="0" rank="0" text="" dxfId="12">
      <formula>I54="⚡ עומס!"</formula>
    </cfRule>
  </conditionalFormatting>
  <conditionalFormatting sqref="A55:J55">
    <cfRule type="expression" priority="98" aboveAverage="0" equalAverage="0" bottom="0" percent="0" rank="0" text="" dxfId="14">
      <formula>$D55&gt;=הגדרות!$C$14</formula>
    </cfRule>
  </conditionalFormatting>
  <conditionalFormatting sqref="I55">
    <cfRule type="expression" priority="99" aboveAverage="0" equalAverage="0" bottom="0" percent="0" rank="0" text="" dxfId="12">
      <formula>I55="⚡ עומס!"</formula>
    </cfRule>
  </conditionalFormatting>
  <conditionalFormatting sqref="A56:J56">
    <cfRule type="expression" priority="100" aboveAverage="0" equalAverage="0" bottom="0" percent="0" rank="0" text="" dxfId="14">
      <formula>$D56&gt;=הגדרות!$C$14</formula>
    </cfRule>
  </conditionalFormatting>
  <conditionalFormatting sqref="I56">
    <cfRule type="expression" priority="101" aboveAverage="0" equalAverage="0" bottom="0" percent="0" rank="0" text="" dxfId="12">
      <formula>I56="⚡ עומס!"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8" min="5" style="1" width="12"/>
    <col collapsed="false" customWidth="true" hidden="false" outlineLevel="0" max="9" min="9" style="1" width="14"/>
    <col collapsed="false" customWidth="true" hidden="false" outlineLevel="0" max="10" min="10" style="1" width="22"/>
  </cols>
  <sheetData>
    <row r="1" customFormat="false" ht="31.5" hidden="false" customHeight="true" outlineLevel="0" collapsed="false">
      <c r="A1" s="121" t="s">
        <v>104</v>
      </c>
      <c r="B1" s="121"/>
      <c r="C1" s="121"/>
      <c r="D1" s="121"/>
      <c r="E1" s="121"/>
      <c r="F1" s="121"/>
      <c r="G1" s="121"/>
      <c r="H1" s="121"/>
      <c r="I1" s="121"/>
      <c r="J1" s="121"/>
    </row>
    <row r="3" customFormat="false" ht="15" hidden="false" customHeight="true" outlineLevel="0" collapsed="false">
      <c r="A3" s="23" t="s">
        <v>94</v>
      </c>
      <c r="B3" s="122" t="n">
        <f aca="false">DATE(YEAR(הגדרות!$C$3),MONTH(הגדרות!$C$3),1)</f>
        <v>46082</v>
      </c>
      <c r="D3" s="23" t="s">
        <v>62</v>
      </c>
      <c r="E3" s="122" t="n">
        <f aca="false">EOMONTH(הגדרות!$C$3,0)</f>
        <v>46112</v>
      </c>
    </row>
    <row r="5" customFormat="false" ht="19.5" hidden="false" customHeight="true" outlineLevel="0" collapsed="false">
      <c r="A5" s="123" t="s">
        <v>36</v>
      </c>
      <c r="B5" s="123" t="s">
        <v>34</v>
      </c>
      <c r="C5" s="123" t="s">
        <v>47</v>
      </c>
      <c r="D5" s="18" t="s">
        <v>105</v>
      </c>
      <c r="E5" s="32" t="s">
        <v>106</v>
      </c>
      <c r="F5" s="32" t="s">
        <v>107</v>
      </c>
      <c r="G5" s="32" t="s">
        <v>108</v>
      </c>
      <c r="H5" s="32" t="s">
        <v>109</v>
      </c>
      <c r="I5" s="16" t="s">
        <v>100</v>
      </c>
      <c r="J5" s="16" t="s">
        <v>52</v>
      </c>
    </row>
    <row r="6" customFormat="false" ht="15" hidden="false" customHeight="true" outlineLevel="0" collapsed="false">
      <c r="A6" s="114" t="str">
        <f aca="false">IFERROR(IF(נתוני_בסיס!$Y$3="","",נתוני_בסיס!$Y$3),"")</f>
        <v/>
      </c>
      <c r="B6" s="34" t="str">
        <f aca="false">IFERROR(IF(A6="","",IFERROR(INDEX(T_Employees[מחלקה],MATCH(A6,T_Employees[שם],0)),INDEX(T_Consultants[מחלקה],MATCH(A6,T_Consultants[שם יועץ],0)))),"")</f>
        <v/>
      </c>
      <c r="C6" s="113" t="str">
        <f aca="false">IFERROR(IF(A6="","",IF(COUNTIF(T_Consultants[שם יועץ],A6)&gt;0,"יועץ","עובד")),"")</f>
        <v/>
      </c>
      <c r="D6" s="124" t="str">
        <f aca="false">IFERROR(IF(A6="","",COUNTIFS(T_Assign[שם],A6,T_Assign[תאריך],"&gt;="&amp;$B$3,T_Assign[תאריך],"&lt;="&amp;$E$3)),0)</f>
        <v/>
      </c>
      <c r="E6" s="34" t="str">
        <f aca="false">IFERROR(IF(A6="","",COUNTIFS(T_Assign[שם],A6,T_Assign[תאריך],"&gt;="&amp;($B$3+0*7),T_Assign[תאריך],"&lt;="&amp;($B$3+0*7+6))),0)</f>
        <v/>
      </c>
      <c r="F6" s="34" t="str">
        <f aca="false">IFERROR(IF(A6="","",COUNTIFS(T_Assign[שם],A6,T_Assign[תאריך],"&gt;="&amp;($B$3+1*7),T_Assign[תאריך],"&lt;="&amp;($B$3+1*7+6))),0)</f>
        <v/>
      </c>
      <c r="G6" s="34" t="str">
        <f aca="false">IFERROR(IF(A6="","",COUNTIFS(T_Assign[שם],A6,T_Assign[תאריך],"&gt;="&amp;($B$3+2*7),T_Assign[תאריך],"&lt;="&amp;($B$3+2*7+6))),0)</f>
        <v/>
      </c>
      <c r="H6" s="34" t="str">
        <f aca="false">IFERROR(IF(A6="","",COUNTIFS(T_Assign[שם],A6,T_Assign[תאריך],"&gt;="&amp;($B$3+3*7),T_Assign[תאריך],"&lt;="&amp;($B$3+3*7+6))),0)</f>
        <v/>
      </c>
      <c r="I6" s="114" t="str">
        <f aca="false">IFERROR(IF(A6="","",SUMPRODUCT((E6&gt;=הגדרות!$C$14)*1+(F6&gt;=הגדרות!$C$14)*1+(G6&gt;=הגדרות!$C$14)*1+(H6&gt;=הגדרות!$C$14)*1)),0)</f>
        <v/>
      </c>
      <c r="J6" s="49" t="str">
        <f aca="false">IFERROR(IF(A6="","",IF(I6&gt;0,"⚡ "&amp;I6&amp;" אירועי עומס","✓ תקין")),"")</f>
        <v/>
      </c>
    </row>
    <row r="7" customFormat="false" ht="15" hidden="false" customHeight="true" outlineLevel="0" collapsed="false">
      <c r="A7" s="119" t="str">
        <f aca="false">IFERROR(IF(נתוני_בסיס!$Y$4="","",נתוני_בסיס!$Y$4),"")</f>
        <v/>
      </c>
      <c r="B7" s="118" t="str">
        <f aca="false">IFERROR(IF(A7="","",IFERROR(INDEX(T_Employees[מחלקה],MATCH(A7,T_Employees[שם],0)),INDEX(T_Consultants[מחלקה],MATCH(A7,T_Consultants[שם יועץ],0)))),"")</f>
        <v/>
      </c>
      <c r="C7" s="117" t="str">
        <f aca="false">IFERROR(IF(A7="","",IF(COUNTIF(T_Consultants[שם יועץ],A7)&gt;0,"יועץ","עובד")),"")</f>
        <v/>
      </c>
      <c r="D7" s="125" t="str">
        <f aca="false">IFERROR(IF(A7="","",COUNTIFS(T_Assign[שם],A7,T_Assign[תאריך],"&gt;="&amp;$B$3,T_Assign[תאריך],"&lt;="&amp;$E$3)),0)</f>
        <v/>
      </c>
      <c r="E7" s="118" t="str">
        <f aca="false">IFERROR(IF(A7="","",COUNTIFS(T_Assign[שם],A7,T_Assign[תאריך],"&gt;="&amp;($B$3+0*7),T_Assign[תאריך],"&lt;="&amp;($B$3+0*7+6))),0)</f>
        <v/>
      </c>
      <c r="F7" s="118" t="str">
        <f aca="false">IFERROR(IF(A7="","",COUNTIFS(T_Assign[שם],A7,T_Assign[תאריך],"&gt;="&amp;($B$3+1*7),T_Assign[תאריך],"&lt;="&amp;($B$3+1*7+6))),0)</f>
        <v/>
      </c>
      <c r="G7" s="118" t="str">
        <f aca="false">IFERROR(IF(A7="","",COUNTIFS(T_Assign[שם],A7,T_Assign[תאריך],"&gt;="&amp;($B$3+2*7),T_Assign[תאריך],"&lt;="&amp;($B$3+2*7+6))),0)</f>
        <v/>
      </c>
      <c r="H7" s="118" t="str">
        <f aca="false">IFERROR(IF(A7="","",COUNTIFS(T_Assign[שם],A7,T_Assign[תאריך],"&gt;="&amp;($B$3+3*7),T_Assign[תאריך],"&lt;="&amp;($B$3+3*7+6))),0)</f>
        <v/>
      </c>
      <c r="I7" s="119" t="str">
        <f aca="false">IFERROR(IF(A7="","",SUMPRODUCT((E7&gt;=הגדרות!$C$14)*1+(F7&gt;=הגדרות!$C$14)*1+(G7&gt;=הגדרות!$C$14)*1+(H7&gt;=הגדרות!$C$14)*1)),0)</f>
        <v/>
      </c>
      <c r="J7" s="52" t="str">
        <f aca="false">IFERROR(IF(A7="","",IF(I7&gt;0,"⚡ "&amp;I7&amp;" אירועי עומס","✓ תקין")),"")</f>
        <v/>
      </c>
    </row>
    <row r="8" customFormat="false" ht="15" hidden="false" customHeight="true" outlineLevel="0" collapsed="false">
      <c r="A8" s="114" t="str">
        <f aca="false">IFERROR(IF(נתוני_בסיס!$Y$5="","",נתוני_בסיס!$Y$5),"")</f>
        <v/>
      </c>
      <c r="B8" s="34" t="str">
        <f aca="false">IFERROR(IF(A8="","",IFERROR(INDEX(T_Employees[מחלקה],MATCH(A8,T_Employees[שם],0)),INDEX(T_Consultants[מחלקה],MATCH(A8,T_Consultants[שם יועץ],0)))),"")</f>
        <v/>
      </c>
      <c r="C8" s="113" t="str">
        <f aca="false">IFERROR(IF(A8="","",IF(COUNTIF(T_Consultants[שם יועץ],A8)&gt;0,"יועץ","עובד")),"")</f>
        <v/>
      </c>
      <c r="D8" s="124" t="str">
        <f aca="false">IFERROR(IF(A8="","",COUNTIFS(T_Assign[שם],A8,T_Assign[תאריך],"&gt;="&amp;$B$3,T_Assign[תאריך],"&lt;="&amp;$E$3)),0)</f>
        <v/>
      </c>
      <c r="E8" s="34" t="str">
        <f aca="false">IFERROR(IF(A8="","",COUNTIFS(T_Assign[שם],A8,T_Assign[תאריך],"&gt;="&amp;($B$3+0*7),T_Assign[תאריך],"&lt;="&amp;($B$3+0*7+6))),0)</f>
        <v/>
      </c>
      <c r="F8" s="34" t="str">
        <f aca="false">IFERROR(IF(A8="","",COUNTIFS(T_Assign[שם],A8,T_Assign[תאריך],"&gt;="&amp;($B$3+1*7),T_Assign[תאריך],"&lt;="&amp;($B$3+1*7+6))),0)</f>
        <v/>
      </c>
      <c r="G8" s="34" t="str">
        <f aca="false">IFERROR(IF(A8="","",COUNTIFS(T_Assign[שם],A8,T_Assign[תאריך],"&gt;="&amp;($B$3+2*7),T_Assign[תאריך],"&lt;="&amp;($B$3+2*7+6))),0)</f>
        <v/>
      </c>
      <c r="H8" s="34" t="str">
        <f aca="false">IFERROR(IF(A8="","",COUNTIFS(T_Assign[שם],A8,T_Assign[תאריך],"&gt;="&amp;($B$3+3*7),T_Assign[תאריך],"&lt;="&amp;($B$3+3*7+6))),0)</f>
        <v/>
      </c>
      <c r="I8" s="114" t="str">
        <f aca="false">IFERROR(IF(A8="","",SUMPRODUCT((E8&gt;=הגדרות!$C$14)*1+(F8&gt;=הגדרות!$C$14)*1+(G8&gt;=הגדרות!$C$14)*1+(H8&gt;=הגדרות!$C$14)*1)),0)</f>
        <v/>
      </c>
      <c r="J8" s="49" t="str">
        <f aca="false">IFERROR(IF(A8="","",IF(I8&gt;0,"⚡ "&amp;I8&amp;" אירועי עומס","✓ תקין")),"")</f>
        <v/>
      </c>
    </row>
    <row r="9" customFormat="false" ht="15" hidden="false" customHeight="true" outlineLevel="0" collapsed="false">
      <c r="A9" s="119" t="str">
        <f aca="false">IFERROR(IF(נתוני_בסיס!$Y$6="","",נתוני_בסיס!$Y$6),"")</f>
        <v/>
      </c>
      <c r="B9" s="118" t="str">
        <f aca="false">IFERROR(IF(A9="","",IFERROR(INDEX(T_Employees[מחלקה],MATCH(A9,T_Employees[שם],0)),INDEX(T_Consultants[מחלקה],MATCH(A9,T_Consultants[שם יועץ],0)))),"")</f>
        <v/>
      </c>
      <c r="C9" s="117" t="str">
        <f aca="false">IFERROR(IF(A9="","",IF(COUNTIF(T_Consultants[שם יועץ],A9)&gt;0,"יועץ","עובד")),"")</f>
        <v/>
      </c>
      <c r="D9" s="125" t="str">
        <f aca="false">IFERROR(IF(A9="","",COUNTIFS(T_Assign[שם],A9,T_Assign[תאריך],"&gt;="&amp;$B$3,T_Assign[תאריך],"&lt;="&amp;$E$3)),0)</f>
        <v/>
      </c>
      <c r="E9" s="118" t="str">
        <f aca="false">IFERROR(IF(A9="","",COUNTIFS(T_Assign[שם],A9,T_Assign[תאריך],"&gt;="&amp;($B$3+0*7),T_Assign[תאריך],"&lt;="&amp;($B$3+0*7+6))),0)</f>
        <v/>
      </c>
      <c r="F9" s="118" t="str">
        <f aca="false">IFERROR(IF(A9="","",COUNTIFS(T_Assign[שם],A9,T_Assign[תאריך],"&gt;="&amp;($B$3+1*7),T_Assign[תאריך],"&lt;="&amp;($B$3+1*7+6))),0)</f>
        <v/>
      </c>
      <c r="G9" s="118" t="str">
        <f aca="false">IFERROR(IF(A9="","",COUNTIFS(T_Assign[שם],A9,T_Assign[תאריך],"&gt;="&amp;($B$3+2*7),T_Assign[תאריך],"&lt;="&amp;($B$3+2*7+6))),0)</f>
        <v/>
      </c>
      <c r="H9" s="118" t="str">
        <f aca="false">IFERROR(IF(A9="","",COUNTIFS(T_Assign[שם],A9,T_Assign[תאריך],"&gt;="&amp;($B$3+3*7),T_Assign[תאריך],"&lt;="&amp;($B$3+3*7+6))),0)</f>
        <v/>
      </c>
      <c r="I9" s="119" t="str">
        <f aca="false">IFERROR(IF(A9="","",SUMPRODUCT((E9&gt;=הגדרות!$C$14)*1+(F9&gt;=הגדרות!$C$14)*1+(G9&gt;=הגדרות!$C$14)*1+(H9&gt;=הגדרות!$C$14)*1)),0)</f>
        <v/>
      </c>
      <c r="J9" s="52" t="str">
        <f aca="false">IFERROR(IF(A9="","",IF(I9&gt;0,"⚡ "&amp;I9&amp;" אירועי עומס","✓ תקין")),"")</f>
        <v/>
      </c>
    </row>
    <row r="10" customFormat="false" ht="15" hidden="false" customHeight="true" outlineLevel="0" collapsed="false">
      <c r="A10" s="114" t="str">
        <f aca="false">IFERROR(IF(נתוני_בסיס!$Y$7="","",נתוני_בסיס!$Y$7),"")</f>
        <v/>
      </c>
      <c r="B10" s="34" t="str">
        <f aca="false">IFERROR(IF(A10="","",IFERROR(INDEX(T_Employees[מחלקה],MATCH(A10,T_Employees[שם],0)),INDEX(T_Consultants[מחלקה],MATCH(A10,T_Consultants[שם יועץ],0)))),"")</f>
        <v/>
      </c>
      <c r="C10" s="113" t="str">
        <f aca="false">IFERROR(IF(A10="","",IF(COUNTIF(T_Consultants[שם יועץ],A10)&gt;0,"יועץ","עובד")),"")</f>
        <v/>
      </c>
      <c r="D10" s="124" t="str">
        <f aca="false">IFERROR(IF(A10="","",COUNTIFS(T_Assign[שם],A10,T_Assign[תאריך],"&gt;="&amp;$B$3,T_Assign[תאריך],"&lt;="&amp;$E$3)),0)</f>
        <v/>
      </c>
      <c r="E10" s="34" t="str">
        <f aca="false">IFERROR(IF(A10="","",COUNTIFS(T_Assign[שם],A10,T_Assign[תאריך],"&gt;="&amp;($B$3+0*7),T_Assign[תאריך],"&lt;="&amp;($B$3+0*7+6))),0)</f>
        <v/>
      </c>
      <c r="F10" s="34" t="str">
        <f aca="false">IFERROR(IF(A10="","",COUNTIFS(T_Assign[שם],A10,T_Assign[תאריך],"&gt;="&amp;($B$3+1*7),T_Assign[תאריך],"&lt;="&amp;($B$3+1*7+6))),0)</f>
        <v/>
      </c>
      <c r="G10" s="34" t="str">
        <f aca="false">IFERROR(IF(A10="","",COUNTIFS(T_Assign[שם],A10,T_Assign[תאריך],"&gt;="&amp;($B$3+2*7),T_Assign[תאריך],"&lt;="&amp;($B$3+2*7+6))),0)</f>
        <v/>
      </c>
      <c r="H10" s="34" t="str">
        <f aca="false">IFERROR(IF(A10="","",COUNTIFS(T_Assign[שם],A10,T_Assign[תאריך],"&gt;="&amp;($B$3+3*7),T_Assign[תאריך],"&lt;="&amp;($B$3+3*7+6))),0)</f>
        <v/>
      </c>
      <c r="I10" s="114" t="str">
        <f aca="false">IFERROR(IF(A10="","",SUMPRODUCT((E10&gt;=הגדרות!$C$14)*1+(F10&gt;=הגדרות!$C$14)*1+(G10&gt;=הגדרות!$C$14)*1+(H10&gt;=הגדרות!$C$14)*1)),0)</f>
        <v/>
      </c>
      <c r="J10" s="49" t="str">
        <f aca="false">IFERROR(IF(A10="","",IF(I10&gt;0,"⚡ "&amp;I10&amp;" אירועי עומס","✓ תקין")),"")</f>
        <v/>
      </c>
    </row>
    <row r="11" customFormat="false" ht="15" hidden="false" customHeight="true" outlineLevel="0" collapsed="false">
      <c r="A11" s="119" t="str">
        <f aca="false">IFERROR(IF(נתוני_בסיס!$Y$8="","",נתוני_בסיס!$Y$8),"")</f>
        <v/>
      </c>
      <c r="B11" s="118" t="str">
        <f aca="false">IFERROR(IF(A11="","",IFERROR(INDEX(T_Employees[מחלקה],MATCH(A11,T_Employees[שם],0)),INDEX(T_Consultants[מחלקה],MATCH(A11,T_Consultants[שם יועץ],0)))),"")</f>
        <v/>
      </c>
      <c r="C11" s="117" t="str">
        <f aca="false">IFERROR(IF(A11="","",IF(COUNTIF(T_Consultants[שם יועץ],A11)&gt;0,"יועץ","עובד")),"")</f>
        <v/>
      </c>
      <c r="D11" s="125" t="str">
        <f aca="false">IFERROR(IF(A11="","",COUNTIFS(T_Assign[שם],A11,T_Assign[תאריך],"&gt;="&amp;$B$3,T_Assign[תאריך],"&lt;="&amp;$E$3)),0)</f>
        <v/>
      </c>
      <c r="E11" s="118" t="str">
        <f aca="false">IFERROR(IF(A11="","",COUNTIFS(T_Assign[שם],A11,T_Assign[תאריך],"&gt;="&amp;($B$3+0*7),T_Assign[תאריך],"&lt;="&amp;($B$3+0*7+6))),0)</f>
        <v/>
      </c>
      <c r="F11" s="118" t="str">
        <f aca="false">IFERROR(IF(A11="","",COUNTIFS(T_Assign[שם],A11,T_Assign[תאריך],"&gt;="&amp;($B$3+1*7),T_Assign[תאריך],"&lt;="&amp;($B$3+1*7+6))),0)</f>
        <v/>
      </c>
      <c r="G11" s="118" t="str">
        <f aca="false">IFERROR(IF(A11="","",COUNTIFS(T_Assign[שם],A11,T_Assign[תאריך],"&gt;="&amp;($B$3+2*7),T_Assign[תאריך],"&lt;="&amp;($B$3+2*7+6))),0)</f>
        <v/>
      </c>
      <c r="H11" s="118" t="str">
        <f aca="false">IFERROR(IF(A11="","",COUNTIFS(T_Assign[שם],A11,T_Assign[תאריך],"&gt;="&amp;($B$3+3*7),T_Assign[תאריך],"&lt;="&amp;($B$3+3*7+6))),0)</f>
        <v/>
      </c>
      <c r="I11" s="119" t="str">
        <f aca="false">IFERROR(IF(A11="","",SUMPRODUCT((E11&gt;=הגדרות!$C$14)*1+(F11&gt;=הגדרות!$C$14)*1+(G11&gt;=הגדרות!$C$14)*1+(H11&gt;=הגדרות!$C$14)*1)),0)</f>
        <v/>
      </c>
      <c r="J11" s="52" t="str">
        <f aca="false">IFERROR(IF(A11="","",IF(I11&gt;0,"⚡ "&amp;I11&amp;" אירועי עומס","✓ תקין")),"")</f>
        <v/>
      </c>
    </row>
    <row r="12" customFormat="false" ht="15" hidden="false" customHeight="true" outlineLevel="0" collapsed="false">
      <c r="A12" s="114" t="str">
        <f aca="false">IFERROR(IF(נתוני_בסיס!$Y$9="","",נתוני_בסיס!$Y$9),"")</f>
        <v/>
      </c>
      <c r="B12" s="34" t="str">
        <f aca="false">IFERROR(IF(A12="","",IFERROR(INDEX(T_Employees[מחלקה],MATCH(A12,T_Employees[שם],0)),INDEX(T_Consultants[מחלקה],MATCH(A12,T_Consultants[שם יועץ],0)))),"")</f>
        <v/>
      </c>
      <c r="C12" s="113" t="str">
        <f aca="false">IFERROR(IF(A12="","",IF(COUNTIF(T_Consultants[שם יועץ],A12)&gt;0,"יועץ","עובד")),"")</f>
        <v/>
      </c>
      <c r="D12" s="124" t="str">
        <f aca="false">IFERROR(IF(A12="","",COUNTIFS(T_Assign[שם],A12,T_Assign[תאריך],"&gt;="&amp;$B$3,T_Assign[תאריך],"&lt;="&amp;$E$3)),0)</f>
        <v/>
      </c>
      <c r="E12" s="34" t="str">
        <f aca="false">IFERROR(IF(A12="","",COUNTIFS(T_Assign[שם],A12,T_Assign[תאריך],"&gt;="&amp;($B$3+0*7),T_Assign[תאריך],"&lt;="&amp;($B$3+0*7+6))),0)</f>
        <v/>
      </c>
      <c r="F12" s="34" t="str">
        <f aca="false">IFERROR(IF(A12="","",COUNTIFS(T_Assign[שם],A12,T_Assign[תאריך],"&gt;="&amp;($B$3+1*7),T_Assign[תאריך],"&lt;="&amp;($B$3+1*7+6))),0)</f>
        <v/>
      </c>
      <c r="G12" s="34" t="str">
        <f aca="false">IFERROR(IF(A12="","",COUNTIFS(T_Assign[שם],A12,T_Assign[תאריך],"&gt;="&amp;($B$3+2*7),T_Assign[תאריך],"&lt;="&amp;($B$3+2*7+6))),0)</f>
        <v/>
      </c>
      <c r="H12" s="34" t="str">
        <f aca="false">IFERROR(IF(A12="","",COUNTIFS(T_Assign[שם],A12,T_Assign[תאריך],"&gt;="&amp;($B$3+3*7),T_Assign[תאריך],"&lt;="&amp;($B$3+3*7+6))),0)</f>
        <v/>
      </c>
      <c r="I12" s="114" t="str">
        <f aca="false">IFERROR(IF(A12="","",SUMPRODUCT((E12&gt;=הגדרות!$C$14)*1+(F12&gt;=הגדרות!$C$14)*1+(G12&gt;=הגדרות!$C$14)*1+(H12&gt;=הגדרות!$C$14)*1)),0)</f>
        <v/>
      </c>
      <c r="J12" s="49" t="str">
        <f aca="false">IFERROR(IF(A12="","",IF(I12&gt;0,"⚡ "&amp;I12&amp;" אירועי עומס","✓ תקין")),"")</f>
        <v/>
      </c>
    </row>
    <row r="13" customFormat="false" ht="15" hidden="false" customHeight="true" outlineLevel="0" collapsed="false">
      <c r="A13" s="119" t="str">
        <f aca="false">IFERROR(IF(נתוני_בסיס!$Y$10="","",נתוני_בסיס!$Y$10),"")</f>
        <v/>
      </c>
      <c r="B13" s="118" t="str">
        <f aca="false">IFERROR(IF(A13="","",IFERROR(INDEX(T_Employees[מחלקה],MATCH(A13,T_Employees[שם],0)),INDEX(T_Consultants[מחלקה],MATCH(A13,T_Consultants[שם יועץ],0)))),"")</f>
        <v/>
      </c>
      <c r="C13" s="117" t="str">
        <f aca="false">IFERROR(IF(A13="","",IF(COUNTIF(T_Consultants[שם יועץ],A13)&gt;0,"יועץ","עובד")),"")</f>
        <v/>
      </c>
      <c r="D13" s="125" t="str">
        <f aca="false">IFERROR(IF(A13="","",COUNTIFS(T_Assign[שם],A13,T_Assign[תאריך],"&gt;="&amp;$B$3,T_Assign[תאריך],"&lt;="&amp;$E$3)),0)</f>
        <v/>
      </c>
      <c r="E13" s="118" t="str">
        <f aca="false">IFERROR(IF(A13="","",COUNTIFS(T_Assign[שם],A13,T_Assign[תאריך],"&gt;="&amp;($B$3+0*7),T_Assign[תאריך],"&lt;="&amp;($B$3+0*7+6))),0)</f>
        <v/>
      </c>
      <c r="F13" s="118" t="str">
        <f aca="false">IFERROR(IF(A13="","",COUNTIFS(T_Assign[שם],A13,T_Assign[תאריך],"&gt;="&amp;($B$3+1*7),T_Assign[תאריך],"&lt;="&amp;($B$3+1*7+6))),0)</f>
        <v/>
      </c>
      <c r="G13" s="118" t="str">
        <f aca="false">IFERROR(IF(A13="","",COUNTIFS(T_Assign[שם],A13,T_Assign[תאריך],"&gt;="&amp;($B$3+2*7),T_Assign[תאריך],"&lt;="&amp;($B$3+2*7+6))),0)</f>
        <v/>
      </c>
      <c r="H13" s="118" t="str">
        <f aca="false">IFERROR(IF(A13="","",COUNTIFS(T_Assign[שם],A13,T_Assign[תאריך],"&gt;="&amp;($B$3+3*7),T_Assign[תאריך],"&lt;="&amp;($B$3+3*7+6))),0)</f>
        <v/>
      </c>
      <c r="I13" s="119" t="str">
        <f aca="false">IFERROR(IF(A13="","",SUMPRODUCT((E13&gt;=הגדרות!$C$14)*1+(F13&gt;=הגדרות!$C$14)*1+(G13&gt;=הגדרות!$C$14)*1+(H13&gt;=הגדרות!$C$14)*1)),0)</f>
        <v/>
      </c>
      <c r="J13" s="52" t="str">
        <f aca="false">IFERROR(IF(A13="","",IF(I13&gt;0,"⚡ "&amp;I13&amp;" אירועי עומס","✓ תקין")),"")</f>
        <v/>
      </c>
    </row>
    <row r="14" customFormat="false" ht="15" hidden="false" customHeight="true" outlineLevel="0" collapsed="false">
      <c r="A14" s="114" t="str">
        <f aca="false">IFERROR(IF(נתוני_בסיס!$Y$11="","",נתוני_בסיס!$Y$11),"")</f>
        <v/>
      </c>
      <c r="B14" s="34" t="str">
        <f aca="false">IFERROR(IF(A14="","",IFERROR(INDEX(T_Employees[מחלקה],MATCH(A14,T_Employees[שם],0)),INDEX(T_Consultants[מחלקה],MATCH(A14,T_Consultants[שם יועץ],0)))),"")</f>
        <v/>
      </c>
      <c r="C14" s="113" t="str">
        <f aca="false">IFERROR(IF(A14="","",IF(COUNTIF(T_Consultants[שם יועץ],A14)&gt;0,"יועץ","עובד")),"")</f>
        <v/>
      </c>
      <c r="D14" s="124" t="str">
        <f aca="false">IFERROR(IF(A14="","",COUNTIFS(T_Assign[שם],A14,T_Assign[תאריך],"&gt;="&amp;$B$3,T_Assign[תאריך],"&lt;="&amp;$E$3)),0)</f>
        <v/>
      </c>
      <c r="E14" s="34" t="str">
        <f aca="false">IFERROR(IF(A14="","",COUNTIFS(T_Assign[שם],A14,T_Assign[תאריך],"&gt;="&amp;($B$3+0*7),T_Assign[תאריך],"&lt;="&amp;($B$3+0*7+6))),0)</f>
        <v/>
      </c>
      <c r="F14" s="34" t="str">
        <f aca="false">IFERROR(IF(A14="","",COUNTIFS(T_Assign[שם],A14,T_Assign[תאריך],"&gt;="&amp;($B$3+1*7),T_Assign[תאריך],"&lt;="&amp;($B$3+1*7+6))),0)</f>
        <v/>
      </c>
      <c r="G14" s="34" t="str">
        <f aca="false">IFERROR(IF(A14="","",COUNTIFS(T_Assign[שם],A14,T_Assign[תאריך],"&gt;="&amp;($B$3+2*7),T_Assign[תאריך],"&lt;="&amp;($B$3+2*7+6))),0)</f>
        <v/>
      </c>
      <c r="H14" s="34" t="str">
        <f aca="false">IFERROR(IF(A14="","",COUNTIFS(T_Assign[שם],A14,T_Assign[תאריך],"&gt;="&amp;($B$3+3*7),T_Assign[תאריך],"&lt;="&amp;($B$3+3*7+6))),0)</f>
        <v/>
      </c>
      <c r="I14" s="114" t="str">
        <f aca="false">IFERROR(IF(A14="","",SUMPRODUCT((E14&gt;=הגדרות!$C$14)*1+(F14&gt;=הגדרות!$C$14)*1+(G14&gt;=הגדרות!$C$14)*1+(H14&gt;=הגדרות!$C$14)*1)),0)</f>
        <v/>
      </c>
      <c r="J14" s="49" t="str">
        <f aca="false">IFERROR(IF(A14="","",IF(I14&gt;0,"⚡ "&amp;I14&amp;" אירועי עומס","✓ תקין")),"")</f>
        <v/>
      </c>
    </row>
    <row r="15" customFormat="false" ht="15" hidden="false" customHeight="true" outlineLevel="0" collapsed="false">
      <c r="A15" s="119" t="str">
        <f aca="false">IFERROR(IF(נתוני_בסיס!$Y$12="","",נתוני_בסיס!$Y$12),"")</f>
        <v/>
      </c>
      <c r="B15" s="118" t="str">
        <f aca="false">IFERROR(IF(A15="","",IFERROR(INDEX(T_Employees[מחלקה],MATCH(A15,T_Employees[שם],0)),INDEX(T_Consultants[מחלקה],MATCH(A15,T_Consultants[שם יועץ],0)))),"")</f>
        <v/>
      </c>
      <c r="C15" s="117" t="str">
        <f aca="false">IFERROR(IF(A15="","",IF(COUNTIF(T_Consultants[שם יועץ],A15)&gt;0,"יועץ","עובד")),"")</f>
        <v/>
      </c>
      <c r="D15" s="125" t="str">
        <f aca="false">IFERROR(IF(A15="","",COUNTIFS(T_Assign[שם],A15,T_Assign[תאריך],"&gt;="&amp;$B$3,T_Assign[תאריך],"&lt;="&amp;$E$3)),0)</f>
        <v/>
      </c>
      <c r="E15" s="118" t="str">
        <f aca="false">IFERROR(IF(A15="","",COUNTIFS(T_Assign[שם],A15,T_Assign[תאריך],"&gt;="&amp;($B$3+0*7),T_Assign[תאריך],"&lt;="&amp;($B$3+0*7+6))),0)</f>
        <v/>
      </c>
      <c r="F15" s="118" t="str">
        <f aca="false">IFERROR(IF(A15="","",COUNTIFS(T_Assign[שם],A15,T_Assign[תאריך],"&gt;="&amp;($B$3+1*7),T_Assign[תאריך],"&lt;="&amp;($B$3+1*7+6))),0)</f>
        <v/>
      </c>
      <c r="G15" s="118" t="str">
        <f aca="false">IFERROR(IF(A15="","",COUNTIFS(T_Assign[שם],A15,T_Assign[תאריך],"&gt;="&amp;($B$3+2*7),T_Assign[תאריך],"&lt;="&amp;($B$3+2*7+6))),0)</f>
        <v/>
      </c>
      <c r="H15" s="118" t="str">
        <f aca="false">IFERROR(IF(A15="","",COUNTIFS(T_Assign[שם],A15,T_Assign[תאריך],"&gt;="&amp;($B$3+3*7),T_Assign[תאריך],"&lt;="&amp;($B$3+3*7+6))),0)</f>
        <v/>
      </c>
      <c r="I15" s="119" t="str">
        <f aca="false">IFERROR(IF(A15="","",SUMPRODUCT((E15&gt;=הגדרות!$C$14)*1+(F15&gt;=הגדרות!$C$14)*1+(G15&gt;=הגדרות!$C$14)*1+(H15&gt;=הגדרות!$C$14)*1)),0)</f>
        <v/>
      </c>
      <c r="J15" s="52" t="str">
        <f aca="false">IFERROR(IF(A15="","",IF(I15&gt;0,"⚡ "&amp;I15&amp;" אירועי עומס","✓ תקין")),"")</f>
        <v/>
      </c>
    </row>
    <row r="16" customFormat="false" ht="15" hidden="false" customHeight="true" outlineLevel="0" collapsed="false">
      <c r="A16" s="114" t="str">
        <f aca="false">IFERROR(IF(נתוני_בסיס!$Y$13="","",נתוני_בסיס!$Y$13),"")</f>
        <v/>
      </c>
      <c r="B16" s="34" t="str">
        <f aca="false">IFERROR(IF(A16="","",IFERROR(INDEX(T_Employees[מחלקה],MATCH(A16,T_Employees[שם],0)),INDEX(T_Consultants[מחלקה],MATCH(A16,T_Consultants[שם יועץ],0)))),"")</f>
        <v/>
      </c>
      <c r="C16" s="113" t="str">
        <f aca="false">IFERROR(IF(A16="","",IF(COUNTIF(T_Consultants[שם יועץ],A16)&gt;0,"יועץ","עובד")),"")</f>
        <v/>
      </c>
      <c r="D16" s="124" t="str">
        <f aca="false">IFERROR(IF(A16="","",COUNTIFS(T_Assign[שם],A16,T_Assign[תאריך],"&gt;="&amp;$B$3,T_Assign[תאריך],"&lt;="&amp;$E$3)),0)</f>
        <v/>
      </c>
      <c r="E16" s="34" t="str">
        <f aca="false">IFERROR(IF(A16="","",COUNTIFS(T_Assign[שם],A16,T_Assign[תאריך],"&gt;="&amp;($B$3+0*7),T_Assign[תאריך],"&lt;="&amp;($B$3+0*7+6))),0)</f>
        <v/>
      </c>
      <c r="F16" s="34" t="str">
        <f aca="false">IFERROR(IF(A16="","",COUNTIFS(T_Assign[שם],A16,T_Assign[תאריך],"&gt;="&amp;($B$3+1*7),T_Assign[תאריך],"&lt;="&amp;($B$3+1*7+6))),0)</f>
        <v/>
      </c>
      <c r="G16" s="34" t="str">
        <f aca="false">IFERROR(IF(A16="","",COUNTIFS(T_Assign[שם],A16,T_Assign[תאריך],"&gt;="&amp;($B$3+2*7),T_Assign[תאריך],"&lt;="&amp;($B$3+2*7+6))),0)</f>
        <v/>
      </c>
      <c r="H16" s="34" t="str">
        <f aca="false">IFERROR(IF(A16="","",COUNTIFS(T_Assign[שם],A16,T_Assign[תאריך],"&gt;="&amp;($B$3+3*7),T_Assign[תאריך],"&lt;="&amp;($B$3+3*7+6))),0)</f>
        <v/>
      </c>
      <c r="I16" s="114" t="str">
        <f aca="false">IFERROR(IF(A16="","",SUMPRODUCT((E16&gt;=הגדרות!$C$14)*1+(F16&gt;=הגדרות!$C$14)*1+(G16&gt;=הגדרות!$C$14)*1+(H16&gt;=הגדרות!$C$14)*1)),0)</f>
        <v/>
      </c>
      <c r="J16" s="49" t="str">
        <f aca="false">IFERROR(IF(A16="","",IF(I16&gt;0,"⚡ "&amp;I16&amp;" אירועי עומס","✓ תקין")),"")</f>
        <v/>
      </c>
    </row>
    <row r="17" customFormat="false" ht="15" hidden="false" customHeight="true" outlineLevel="0" collapsed="false">
      <c r="A17" s="119" t="str">
        <f aca="false">IFERROR(IF(נתוני_בסיס!$Y$14="","",נתוני_בסיס!$Y$14),"")</f>
        <v/>
      </c>
      <c r="B17" s="118" t="str">
        <f aca="false">IFERROR(IF(A17="","",IFERROR(INDEX(T_Employees[מחלקה],MATCH(A17,T_Employees[שם],0)),INDEX(T_Consultants[מחלקה],MATCH(A17,T_Consultants[שם יועץ],0)))),"")</f>
        <v/>
      </c>
      <c r="C17" s="117" t="str">
        <f aca="false">IFERROR(IF(A17="","",IF(COUNTIF(T_Consultants[שם יועץ],A17)&gt;0,"יועץ","עובד")),"")</f>
        <v/>
      </c>
      <c r="D17" s="125" t="str">
        <f aca="false">IFERROR(IF(A17="","",COUNTIFS(T_Assign[שם],A17,T_Assign[תאריך],"&gt;="&amp;$B$3,T_Assign[תאריך],"&lt;="&amp;$E$3)),0)</f>
        <v/>
      </c>
      <c r="E17" s="118" t="str">
        <f aca="false">IFERROR(IF(A17="","",COUNTIFS(T_Assign[שם],A17,T_Assign[תאריך],"&gt;="&amp;($B$3+0*7),T_Assign[תאריך],"&lt;="&amp;($B$3+0*7+6))),0)</f>
        <v/>
      </c>
      <c r="F17" s="118" t="str">
        <f aca="false">IFERROR(IF(A17="","",COUNTIFS(T_Assign[שם],A17,T_Assign[תאריך],"&gt;="&amp;($B$3+1*7),T_Assign[תאריך],"&lt;="&amp;($B$3+1*7+6))),0)</f>
        <v/>
      </c>
      <c r="G17" s="118" t="str">
        <f aca="false">IFERROR(IF(A17="","",COUNTIFS(T_Assign[שם],A17,T_Assign[תאריך],"&gt;="&amp;($B$3+2*7),T_Assign[תאריך],"&lt;="&amp;($B$3+2*7+6))),0)</f>
        <v/>
      </c>
      <c r="H17" s="118" t="str">
        <f aca="false">IFERROR(IF(A17="","",COUNTIFS(T_Assign[שם],A17,T_Assign[תאריך],"&gt;="&amp;($B$3+3*7),T_Assign[תאריך],"&lt;="&amp;($B$3+3*7+6))),0)</f>
        <v/>
      </c>
      <c r="I17" s="119" t="str">
        <f aca="false">IFERROR(IF(A17="","",SUMPRODUCT((E17&gt;=הגדרות!$C$14)*1+(F17&gt;=הגדרות!$C$14)*1+(G17&gt;=הגדרות!$C$14)*1+(H17&gt;=הגדרות!$C$14)*1)),0)</f>
        <v/>
      </c>
      <c r="J17" s="52" t="str">
        <f aca="false">IFERROR(IF(A17="","",IF(I17&gt;0,"⚡ "&amp;I17&amp;" אירועי עומס","✓ תקין")),"")</f>
        <v/>
      </c>
    </row>
    <row r="18" customFormat="false" ht="15" hidden="false" customHeight="true" outlineLevel="0" collapsed="false">
      <c r="A18" s="114" t="str">
        <f aca="false">IFERROR(IF(נתוני_בסיס!$Y$15="","",נתוני_בסיס!$Y$15),"")</f>
        <v/>
      </c>
      <c r="B18" s="34" t="str">
        <f aca="false">IFERROR(IF(A18="","",IFERROR(INDEX(T_Employees[מחלקה],MATCH(A18,T_Employees[שם],0)),INDEX(T_Consultants[מחלקה],MATCH(A18,T_Consultants[שם יועץ],0)))),"")</f>
        <v/>
      </c>
      <c r="C18" s="113" t="str">
        <f aca="false">IFERROR(IF(A18="","",IF(COUNTIF(T_Consultants[שם יועץ],A18)&gt;0,"יועץ","עובד")),"")</f>
        <v/>
      </c>
      <c r="D18" s="124" t="str">
        <f aca="false">IFERROR(IF(A18="","",COUNTIFS(T_Assign[שם],A18,T_Assign[תאריך],"&gt;="&amp;$B$3,T_Assign[תאריך],"&lt;="&amp;$E$3)),0)</f>
        <v/>
      </c>
      <c r="E18" s="34" t="str">
        <f aca="false">IFERROR(IF(A18="","",COUNTIFS(T_Assign[שם],A18,T_Assign[תאריך],"&gt;="&amp;($B$3+0*7),T_Assign[תאריך],"&lt;="&amp;($B$3+0*7+6))),0)</f>
        <v/>
      </c>
      <c r="F18" s="34" t="str">
        <f aca="false">IFERROR(IF(A18="","",COUNTIFS(T_Assign[שם],A18,T_Assign[תאריך],"&gt;="&amp;($B$3+1*7),T_Assign[תאריך],"&lt;="&amp;($B$3+1*7+6))),0)</f>
        <v/>
      </c>
      <c r="G18" s="34" t="str">
        <f aca="false">IFERROR(IF(A18="","",COUNTIFS(T_Assign[שם],A18,T_Assign[תאריך],"&gt;="&amp;($B$3+2*7),T_Assign[תאריך],"&lt;="&amp;($B$3+2*7+6))),0)</f>
        <v/>
      </c>
      <c r="H18" s="34" t="str">
        <f aca="false">IFERROR(IF(A18="","",COUNTIFS(T_Assign[שם],A18,T_Assign[תאריך],"&gt;="&amp;($B$3+3*7),T_Assign[תאריך],"&lt;="&amp;($B$3+3*7+6))),0)</f>
        <v/>
      </c>
      <c r="I18" s="114" t="str">
        <f aca="false">IFERROR(IF(A18="","",SUMPRODUCT((E18&gt;=הגדרות!$C$14)*1+(F18&gt;=הגדרות!$C$14)*1+(G18&gt;=הגדרות!$C$14)*1+(H18&gt;=הגדרות!$C$14)*1)),0)</f>
        <v/>
      </c>
      <c r="J18" s="49" t="str">
        <f aca="false">IFERROR(IF(A18="","",IF(I18&gt;0,"⚡ "&amp;I18&amp;" אירועי עומס","✓ תקין")),"")</f>
        <v/>
      </c>
    </row>
    <row r="19" customFormat="false" ht="15" hidden="false" customHeight="true" outlineLevel="0" collapsed="false">
      <c r="A19" s="119" t="str">
        <f aca="false">IFERROR(IF(נתוני_בסיס!$Y$16="","",נתוני_בסיס!$Y$16),"")</f>
        <v/>
      </c>
      <c r="B19" s="118" t="str">
        <f aca="false">IFERROR(IF(A19="","",IFERROR(INDEX(T_Employees[מחלקה],MATCH(A19,T_Employees[שם],0)),INDEX(T_Consultants[מחלקה],MATCH(A19,T_Consultants[שם יועץ],0)))),"")</f>
        <v/>
      </c>
      <c r="C19" s="117" t="str">
        <f aca="false">IFERROR(IF(A19="","",IF(COUNTIF(T_Consultants[שם יועץ],A19)&gt;0,"יועץ","עובד")),"")</f>
        <v/>
      </c>
      <c r="D19" s="125" t="str">
        <f aca="false">IFERROR(IF(A19="","",COUNTIFS(T_Assign[שם],A19,T_Assign[תאריך],"&gt;="&amp;$B$3,T_Assign[תאריך],"&lt;="&amp;$E$3)),0)</f>
        <v/>
      </c>
      <c r="E19" s="118" t="str">
        <f aca="false">IFERROR(IF(A19="","",COUNTIFS(T_Assign[שם],A19,T_Assign[תאריך],"&gt;="&amp;($B$3+0*7),T_Assign[תאריך],"&lt;="&amp;($B$3+0*7+6))),0)</f>
        <v/>
      </c>
      <c r="F19" s="118" t="str">
        <f aca="false">IFERROR(IF(A19="","",COUNTIFS(T_Assign[שם],A19,T_Assign[תאריך],"&gt;="&amp;($B$3+1*7),T_Assign[תאריך],"&lt;="&amp;($B$3+1*7+6))),0)</f>
        <v/>
      </c>
      <c r="G19" s="118" t="str">
        <f aca="false">IFERROR(IF(A19="","",COUNTIFS(T_Assign[שם],A19,T_Assign[תאריך],"&gt;="&amp;($B$3+2*7),T_Assign[תאריך],"&lt;="&amp;($B$3+2*7+6))),0)</f>
        <v/>
      </c>
      <c r="H19" s="118" t="str">
        <f aca="false">IFERROR(IF(A19="","",COUNTIFS(T_Assign[שם],A19,T_Assign[תאריך],"&gt;="&amp;($B$3+3*7),T_Assign[תאריך],"&lt;="&amp;($B$3+3*7+6))),0)</f>
        <v/>
      </c>
      <c r="I19" s="119" t="str">
        <f aca="false">IFERROR(IF(A19="","",SUMPRODUCT((E19&gt;=הגדרות!$C$14)*1+(F19&gt;=הגדרות!$C$14)*1+(G19&gt;=הגדרות!$C$14)*1+(H19&gt;=הגדרות!$C$14)*1)),0)</f>
        <v/>
      </c>
      <c r="J19" s="52" t="str">
        <f aca="false">IFERROR(IF(A19="","",IF(I19&gt;0,"⚡ "&amp;I19&amp;" אירועי עומס","✓ תקין")),"")</f>
        <v/>
      </c>
    </row>
    <row r="20" customFormat="false" ht="15" hidden="false" customHeight="true" outlineLevel="0" collapsed="false">
      <c r="A20" s="114" t="str">
        <f aca="false">IFERROR(IF(נתוני_בסיס!$Y$17="","",נתוני_בסיס!$Y$17),"")</f>
        <v/>
      </c>
      <c r="B20" s="34" t="str">
        <f aca="false">IFERROR(IF(A20="","",IFERROR(INDEX(T_Employees[מחלקה],MATCH(A20,T_Employees[שם],0)),INDEX(T_Consultants[מחלקה],MATCH(A20,T_Consultants[שם יועץ],0)))),"")</f>
        <v/>
      </c>
      <c r="C20" s="113" t="str">
        <f aca="false">IFERROR(IF(A20="","",IF(COUNTIF(T_Consultants[שם יועץ],A20)&gt;0,"יועץ","עובד")),"")</f>
        <v/>
      </c>
      <c r="D20" s="124" t="str">
        <f aca="false">IFERROR(IF(A20="","",COUNTIFS(T_Assign[שם],A20,T_Assign[תאריך],"&gt;="&amp;$B$3,T_Assign[תאריך],"&lt;="&amp;$E$3)),0)</f>
        <v/>
      </c>
      <c r="E20" s="34" t="str">
        <f aca="false">IFERROR(IF(A20="","",COUNTIFS(T_Assign[שם],A20,T_Assign[תאריך],"&gt;="&amp;($B$3+0*7),T_Assign[תאריך],"&lt;="&amp;($B$3+0*7+6))),0)</f>
        <v/>
      </c>
      <c r="F20" s="34" t="str">
        <f aca="false">IFERROR(IF(A20="","",COUNTIFS(T_Assign[שם],A20,T_Assign[תאריך],"&gt;="&amp;($B$3+1*7),T_Assign[תאריך],"&lt;="&amp;($B$3+1*7+6))),0)</f>
        <v/>
      </c>
      <c r="G20" s="34" t="str">
        <f aca="false">IFERROR(IF(A20="","",COUNTIFS(T_Assign[שם],A20,T_Assign[תאריך],"&gt;="&amp;($B$3+2*7),T_Assign[תאריך],"&lt;="&amp;($B$3+2*7+6))),0)</f>
        <v/>
      </c>
      <c r="H20" s="34" t="str">
        <f aca="false">IFERROR(IF(A20="","",COUNTIFS(T_Assign[שם],A20,T_Assign[תאריך],"&gt;="&amp;($B$3+3*7),T_Assign[תאריך],"&lt;="&amp;($B$3+3*7+6))),0)</f>
        <v/>
      </c>
      <c r="I20" s="114" t="str">
        <f aca="false">IFERROR(IF(A20="","",SUMPRODUCT((E20&gt;=הגדרות!$C$14)*1+(F20&gt;=הגדרות!$C$14)*1+(G20&gt;=הגדרות!$C$14)*1+(H20&gt;=הגדרות!$C$14)*1)),0)</f>
        <v/>
      </c>
      <c r="J20" s="49" t="str">
        <f aca="false">IFERROR(IF(A20="","",IF(I20&gt;0,"⚡ "&amp;I20&amp;" אירועי עומס","✓ תקין")),"")</f>
        <v/>
      </c>
    </row>
    <row r="21" customFormat="false" ht="15" hidden="false" customHeight="true" outlineLevel="0" collapsed="false">
      <c r="A21" s="119" t="str">
        <f aca="false">IFERROR(IF(נתוני_בסיס!$Y$18="","",נתוני_בסיס!$Y$18),"")</f>
        <v/>
      </c>
      <c r="B21" s="118" t="str">
        <f aca="false">IFERROR(IF(A21="","",IFERROR(INDEX(T_Employees[מחלקה],MATCH(A21,T_Employees[שם],0)),INDEX(T_Consultants[מחלקה],MATCH(A21,T_Consultants[שם יועץ],0)))),"")</f>
        <v/>
      </c>
      <c r="C21" s="117" t="str">
        <f aca="false">IFERROR(IF(A21="","",IF(COUNTIF(T_Consultants[שם יועץ],A21)&gt;0,"יועץ","עובד")),"")</f>
        <v/>
      </c>
      <c r="D21" s="125" t="str">
        <f aca="false">IFERROR(IF(A21="","",COUNTIFS(T_Assign[שם],A21,T_Assign[תאריך],"&gt;="&amp;$B$3,T_Assign[תאריך],"&lt;="&amp;$E$3)),0)</f>
        <v/>
      </c>
      <c r="E21" s="118" t="str">
        <f aca="false">IFERROR(IF(A21="","",COUNTIFS(T_Assign[שם],A21,T_Assign[תאריך],"&gt;="&amp;($B$3+0*7),T_Assign[תאריך],"&lt;="&amp;($B$3+0*7+6))),0)</f>
        <v/>
      </c>
      <c r="F21" s="118" t="str">
        <f aca="false">IFERROR(IF(A21="","",COUNTIFS(T_Assign[שם],A21,T_Assign[תאריך],"&gt;="&amp;($B$3+1*7),T_Assign[תאריך],"&lt;="&amp;($B$3+1*7+6))),0)</f>
        <v/>
      </c>
      <c r="G21" s="118" t="str">
        <f aca="false">IFERROR(IF(A21="","",COUNTIFS(T_Assign[שם],A21,T_Assign[תאריך],"&gt;="&amp;($B$3+2*7),T_Assign[תאריך],"&lt;="&amp;($B$3+2*7+6))),0)</f>
        <v/>
      </c>
      <c r="H21" s="118" t="str">
        <f aca="false">IFERROR(IF(A21="","",COUNTIFS(T_Assign[שם],A21,T_Assign[תאריך],"&gt;="&amp;($B$3+3*7),T_Assign[תאריך],"&lt;="&amp;($B$3+3*7+6))),0)</f>
        <v/>
      </c>
      <c r="I21" s="119" t="str">
        <f aca="false">IFERROR(IF(A21="","",SUMPRODUCT((E21&gt;=הגדרות!$C$14)*1+(F21&gt;=הגדרות!$C$14)*1+(G21&gt;=הגדרות!$C$14)*1+(H21&gt;=הגדרות!$C$14)*1)),0)</f>
        <v/>
      </c>
      <c r="J21" s="52" t="str">
        <f aca="false">IFERROR(IF(A21="","",IF(I21&gt;0,"⚡ "&amp;I21&amp;" אירועי עומס","✓ תקין")),"")</f>
        <v/>
      </c>
    </row>
    <row r="22" customFormat="false" ht="15" hidden="false" customHeight="true" outlineLevel="0" collapsed="false">
      <c r="A22" s="114" t="str">
        <f aca="false">IFERROR(IF(נתוני_בסיס!$Y$19="","",נתוני_בסיס!$Y$19),"")</f>
        <v/>
      </c>
      <c r="B22" s="34" t="str">
        <f aca="false">IFERROR(IF(A22="","",IFERROR(INDEX(T_Employees[מחלקה],MATCH(A22,T_Employees[שם],0)),INDEX(T_Consultants[מחלקה],MATCH(A22,T_Consultants[שם יועץ],0)))),"")</f>
        <v/>
      </c>
      <c r="C22" s="113" t="str">
        <f aca="false">IFERROR(IF(A22="","",IF(COUNTIF(T_Consultants[שם יועץ],A22)&gt;0,"יועץ","עובד")),"")</f>
        <v/>
      </c>
      <c r="D22" s="124" t="str">
        <f aca="false">IFERROR(IF(A22="","",COUNTIFS(T_Assign[שם],A22,T_Assign[תאריך],"&gt;="&amp;$B$3,T_Assign[תאריך],"&lt;="&amp;$E$3)),0)</f>
        <v/>
      </c>
      <c r="E22" s="34" t="str">
        <f aca="false">IFERROR(IF(A22="","",COUNTIFS(T_Assign[שם],A22,T_Assign[תאריך],"&gt;="&amp;($B$3+0*7),T_Assign[תאריך],"&lt;="&amp;($B$3+0*7+6))),0)</f>
        <v/>
      </c>
      <c r="F22" s="34" t="str">
        <f aca="false">IFERROR(IF(A22="","",COUNTIFS(T_Assign[שם],A22,T_Assign[תאריך],"&gt;="&amp;($B$3+1*7),T_Assign[תאריך],"&lt;="&amp;($B$3+1*7+6))),0)</f>
        <v/>
      </c>
      <c r="G22" s="34" t="str">
        <f aca="false">IFERROR(IF(A22="","",COUNTIFS(T_Assign[שם],A22,T_Assign[תאריך],"&gt;="&amp;($B$3+2*7),T_Assign[תאריך],"&lt;="&amp;($B$3+2*7+6))),0)</f>
        <v/>
      </c>
      <c r="H22" s="34" t="str">
        <f aca="false">IFERROR(IF(A22="","",COUNTIFS(T_Assign[שם],A22,T_Assign[תאריך],"&gt;="&amp;($B$3+3*7),T_Assign[תאריך],"&lt;="&amp;($B$3+3*7+6))),0)</f>
        <v/>
      </c>
      <c r="I22" s="114" t="str">
        <f aca="false">IFERROR(IF(A22="","",SUMPRODUCT((E22&gt;=הגדרות!$C$14)*1+(F22&gt;=הגדרות!$C$14)*1+(G22&gt;=הגדרות!$C$14)*1+(H22&gt;=הגדרות!$C$14)*1)),0)</f>
        <v/>
      </c>
      <c r="J22" s="49" t="str">
        <f aca="false">IFERROR(IF(A22="","",IF(I22&gt;0,"⚡ "&amp;I22&amp;" אירועי עומס","✓ תקין")),"")</f>
        <v/>
      </c>
    </row>
    <row r="23" customFormat="false" ht="15" hidden="false" customHeight="true" outlineLevel="0" collapsed="false">
      <c r="A23" s="119" t="str">
        <f aca="false">IFERROR(IF(נתוני_בסיס!$Y$20="","",נתוני_בסיס!$Y$20),"")</f>
        <v/>
      </c>
      <c r="B23" s="118" t="str">
        <f aca="false">IFERROR(IF(A23="","",IFERROR(INDEX(T_Employees[מחלקה],MATCH(A23,T_Employees[שם],0)),INDEX(T_Consultants[מחלקה],MATCH(A23,T_Consultants[שם יועץ],0)))),"")</f>
        <v/>
      </c>
      <c r="C23" s="117" t="str">
        <f aca="false">IFERROR(IF(A23="","",IF(COUNTIF(T_Consultants[שם יועץ],A23)&gt;0,"יועץ","עובד")),"")</f>
        <v/>
      </c>
      <c r="D23" s="125" t="str">
        <f aca="false">IFERROR(IF(A23="","",COUNTIFS(T_Assign[שם],A23,T_Assign[תאריך],"&gt;="&amp;$B$3,T_Assign[תאריך],"&lt;="&amp;$E$3)),0)</f>
        <v/>
      </c>
      <c r="E23" s="118" t="str">
        <f aca="false">IFERROR(IF(A23="","",COUNTIFS(T_Assign[שם],A23,T_Assign[תאריך],"&gt;="&amp;($B$3+0*7),T_Assign[תאריך],"&lt;="&amp;($B$3+0*7+6))),0)</f>
        <v/>
      </c>
      <c r="F23" s="118" t="str">
        <f aca="false">IFERROR(IF(A23="","",COUNTIFS(T_Assign[שם],A23,T_Assign[תאריך],"&gt;="&amp;($B$3+1*7),T_Assign[תאריך],"&lt;="&amp;($B$3+1*7+6))),0)</f>
        <v/>
      </c>
      <c r="G23" s="118" t="str">
        <f aca="false">IFERROR(IF(A23="","",COUNTIFS(T_Assign[שם],A23,T_Assign[תאריך],"&gt;="&amp;($B$3+2*7),T_Assign[תאריך],"&lt;="&amp;($B$3+2*7+6))),0)</f>
        <v/>
      </c>
      <c r="H23" s="118" t="str">
        <f aca="false">IFERROR(IF(A23="","",COUNTIFS(T_Assign[שם],A23,T_Assign[תאריך],"&gt;="&amp;($B$3+3*7),T_Assign[תאריך],"&lt;="&amp;($B$3+3*7+6))),0)</f>
        <v/>
      </c>
      <c r="I23" s="119" t="str">
        <f aca="false">IFERROR(IF(A23="","",SUMPRODUCT((E23&gt;=הגדרות!$C$14)*1+(F23&gt;=הגדרות!$C$14)*1+(G23&gt;=הגדרות!$C$14)*1+(H23&gt;=הגדרות!$C$14)*1)),0)</f>
        <v/>
      </c>
      <c r="J23" s="52" t="str">
        <f aca="false">IFERROR(IF(A23="","",IF(I23&gt;0,"⚡ "&amp;I23&amp;" אירועי עומס","✓ תקין")),"")</f>
        <v/>
      </c>
    </row>
    <row r="24" customFormat="false" ht="15" hidden="false" customHeight="true" outlineLevel="0" collapsed="false">
      <c r="A24" s="114" t="str">
        <f aca="false">IFERROR(IF(נתוני_בסיס!$Y$21="","",נתוני_בסיס!$Y$21),"")</f>
        <v/>
      </c>
      <c r="B24" s="34" t="str">
        <f aca="false">IFERROR(IF(A24="","",IFERROR(INDEX(T_Employees[מחלקה],MATCH(A24,T_Employees[שם],0)),INDEX(T_Consultants[מחלקה],MATCH(A24,T_Consultants[שם יועץ],0)))),"")</f>
        <v/>
      </c>
      <c r="C24" s="113" t="str">
        <f aca="false">IFERROR(IF(A24="","",IF(COUNTIF(T_Consultants[שם יועץ],A24)&gt;0,"יועץ","עובד")),"")</f>
        <v/>
      </c>
      <c r="D24" s="124" t="str">
        <f aca="false">IFERROR(IF(A24="","",COUNTIFS(T_Assign[שם],A24,T_Assign[תאריך],"&gt;="&amp;$B$3,T_Assign[תאריך],"&lt;="&amp;$E$3)),0)</f>
        <v/>
      </c>
      <c r="E24" s="34" t="str">
        <f aca="false">IFERROR(IF(A24="","",COUNTIFS(T_Assign[שם],A24,T_Assign[תאריך],"&gt;="&amp;($B$3+0*7),T_Assign[תאריך],"&lt;="&amp;($B$3+0*7+6))),0)</f>
        <v/>
      </c>
      <c r="F24" s="34" t="str">
        <f aca="false">IFERROR(IF(A24="","",COUNTIFS(T_Assign[שם],A24,T_Assign[תאריך],"&gt;="&amp;($B$3+1*7),T_Assign[תאריך],"&lt;="&amp;($B$3+1*7+6))),0)</f>
        <v/>
      </c>
      <c r="G24" s="34" t="str">
        <f aca="false">IFERROR(IF(A24="","",COUNTIFS(T_Assign[שם],A24,T_Assign[תאריך],"&gt;="&amp;($B$3+2*7),T_Assign[תאריך],"&lt;="&amp;($B$3+2*7+6))),0)</f>
        <v/>
      </c>
      <c r="H24" s="34" t="str">
        <f aca="false">IFERROR(IF(A24="","",COUNTIFS(T_Assign[שם],A24,T_Assign[תאריך],"&gt;="&amp;($B$3+3*7),T_Assign[תאריך],"&lt;="&amp;($B$3+3*7+6))),0)</f>
        <v/>
      </c>
      <c r="I24" s="114" t="str">
        <f aca="false">IFERROR(IF(A24="","",SUMPRODUCT((E24&gt;=הגדרות!$C$14)*1+(F24&gt;=הגדרות!$C$14)*1+(G24&gt;=הגדרות!$C$14)*1+(H24&gt;=הגדרות!$C$14)*1)),0)</f>
        <v/>
      </c>
      <c r="J24" s="49" t="str">
        <f aca="false">IFERROR(IF(A24="","",IF(I24&gt;0,"⚡ "&amp;I24&amp;" אירועי עומס","✓ תקין")),"")</f>
        <v/>
      </c>
    </row>
    <row r="25" customFormat="false" ht="15" hidden="false" customHeight="true" outlineLevel="0" collapsed="false">
      <c r="A25" s="119" t="str">
        <f aca="false">IFERROR(IF(נתוני_בסיס!$Y$22="","",נתוני_בסיס!$Y$22),"")</f>
        <v/>
      </c>
      <c r="B25" s="118" t="str">
        <f aca="false">IFERROR(IF(A25="","",IFERROR(INDEX(T_Employees[מחלקה],MATCH(A25,T_Employees[שם],0)),INDEX(T_Consultants[מחלקה],MATCH(A25,T_Consultants[שם יועץ],0)))),"")</f>
        <v/>
      </c>
      <c r="C25" s="117" t="str">
        <f aca="false">IFERROR(IF(A25="","",IF(COUNTIF(T_Consultants[שם יועץ],A25)&gt;0,"יועץ","עובד")),"")</f>
        <v/>
      </c>
      <c r="D25" s="125" t="str">
        <f aca="false">IFERROR(IF(A25="","",COUNTIFS(T_Assign[שם],A25,T_Assign[תאריך],"&gt;="&amp;$B$3,T_Assign[תאריך],"&lt;="&amp;$E$3)),0)</f>
        <v/>
      </c>
      <c r="E25" s="118" t="str">
        <f aca="false">IFERROR(IF(A25="","",COUNTIFS(T_Assign[שם],A25,T_Assign[תאריך],"&gt;="&amp;($B$3+0*7),T_Assign[תאריך],"&lt;="&amp;($B$3+0*7+6))),0)</f>
        <v/>
      </c>
      <c r="F25" s="118" t="str">
        <f aca="false">IFERROR(IF(A25="","",COUNTIFS(T_Assign[שם],A25,T_Assign[תאריך],"&gt;="&amp;($B$3+1*7),T_Assign[תאריך],"&lt;="&amp;($B$3+1*7+6))),0)</f>
        <v/>
      </c>
      <c r="G25" s="118" t="str">
        <f aca="false">IFERROR(IF(A25="","",COUNTIFS(T_Assign[שם],A25,T_Assign[תאריך],"&gt;="&amp;($B$3+2*7),T_Assign[תאריך],"&lt;="&amp;($B$3+2*7+6))),0)</f>
        <v/>
      </c>
      <c r="H25" s="118" t="str">
        <f aca="false">IFERROR(IF(A25="","",COUNTIFS(T_Assign[שם],A25,T_Assign[תאריך],"&gt;="&amp;($B$3+3*7),T_Assign[תאריך],"&lt;="&amp;($B$3+3*7+6))),0)</f>
        <v/>
      </c>
      <c r="I25" s="119" t="str">
        <f aca="false">IFERROR(IF(A25="","",SUMPRODUCT((E25&gt;=הגדרות!$C$14)*1+(F25&gt;=הגדרות!$C$14)*1+(G25&gt;=הגדרות!$C$14)*1+(H25&gt;=הגדרות!$C$14)*1)),0)</f>
        <v/>
      </c>
      <c r="J25" s="52" t="str">
        <f aca="false">IFERROR(IF(A25="","",IF(I25&gt;0,"⚡ "&amp;I25&amp;" אירועי עומס","✓ תקין")),"")</f>
        <v/>
      </c>
    </row>
    <row r="26" customFormat="false" ht="15" hidden="false" customHeight="true" outlineLevel="0" collapsed="false">
      <c r="A26" s="114" t="str">
        <f aca="false">IFERROR(IF(נתוני_בסיס!$Y$23="","",נתוני_בסיס!$Y$23),"")</f>
        <v/>
      </c>
      <c r="B26" s="34" t="str">
        <f aca="false">IFERROR(IF(A26="","",IFERROR(INDEX(T_Employees[מחלקה],MATCH(A26,T_Employees[שם],0)),INDEX(T_Consultants[מחלקה],MATCH(A26,T_Consultants[שם יועץ],0)))),"")</f>
        <v/>
      </c>
      <c r="C26" s="113" t="str">
        <f aca="false">IFERROR(IF(A26="","",IF(COUNTIF(T_Consultants[שם יועץ],A26)&gt;0,"יועץ","עובד")),"")</f>
        <v/>
      </c>
      <c r="D26" s="124" t="str">
        <f aca="false">IFERROR(IF(A26="","",COUNTIFS(T_Assign[שם],A26,T_Assign[תאריך],"&gt;="&amp;$B$3,T_Assign[תאריך],"&lt;="&amp;$E$3)),0)</f>
        <v/>
      </c>
      <c r="E26" s="34" t="str">
        <f aca="false">IFERROR(IF(A26="","",COUNTIFS(T_Assign[שם],A26,T_Assign[תאריך],"&gt;="&amp;($B$3+0*7),T_Assign[תאריך],"&lt;="&amp;($B$3+0*7+6))),0)</f>
        <v/>
      </c>
      <c r="F26" s="34" t="str">
        <f aca="false">IFERROR(IF(A26="","",COUNTIFS(T_Assign[שם],A26,T_Assign[תאריך],"&gt;="&amp;($B$3+1*7),T_Assign[תאריך],"&lt;="&amp;($B$3+1*7+6))),0)</f>
        <v/>
      </c>
      <c r="G26" s="34" t="str">
        <f aca="false">IFERROR(IF(A26="","",COUNTIFS(T_Assign[שם],A26,T_Assign[תאריך],"&gt;="&amp;($B$3+2*7),T_Assign[תאריך],"&lt;="&amp;($B$3+2*7+6))),0)</f>
        <v/>
      </c>
      <c r="H26" s="34" t="str">
        <f aca="false">IFERROR(IF(A26="","",COUNTIFS(T_Assign[שם],A26,T_Assign[תאריך],"&gt;="&amp;($B$3+3*7),T_Assign[תאריך],"&lt;="&amp;($B$3+3*7+6))),0)</f>
        <v/>
      </c>
      <c r="I26" s="114" t="str">
        <f aca="false">IFERROR(IF(A26="","",SUMPRODUCT((E26&gt;=הגדרות!$C$14)*1+(F26&gt;=הגדרות!$C$14)*1+(G26&gt;=הגדרות!$C$14)*1+(H26&gt;=הגדרות!$C$14)*1)),0)</f>
        <v/>
      </c>
      <c r="J26" s="49" t="str">
        <f aca="false">IFERROR(IF(A26="","",IF(I26&gt;0,"⚡ "&amp;I26&amp;" אירועי עומס","✓ תקין")),"")</f>
        <v/>
      </c>
    </row>
    <row r="27" customFormat="false" ht="15" hidden="false" customHeight="true" outlineLevel="0" collapsed="false">
      <c r="A27" s="119" t="str">
        <f aca="false">IFERROR(IF(נתוני_בסיס!$Y$24="","",נתוני_בסיס!$Y$24),"")</f>
        <v/>
      </c>
      <c r="B27" s="118" t="str">
        <f aca="false">IFERROR(IF(A27="","",IFERROR(INDEX(T_Employees[מחלקה],MATCH(A27,T_Employees[שם],0)),INDEX(T_Consultants[מחלקה],MATCH(A27,T_Consultants[שם יועץ],0)))),"")</f>
        <v/>
      </c>
      <c r="C27" s="117" t="str">
        <f aca="false">IFERROR(IF(A27="","",IF(COUNTIF(T_Consultants[שם יועץ],A27)&gt;0,"יועץ","עובד")),"")</f>
        <v/>
      </c>
      <c r="D27" s="125" t="str">
        <f aca="false">IFERROR(IF(A27="","",COUNTIFS(T_Assign[שם],A27,T_Assign[תאריך],"&gt;="&amp;$B$3,T_Assign[תאריך],"&lt;="&amp;$E$3)),0)</f>
        <v/>
      </c>
      <c r="E27" s="118" t="str">
        <f aca="false">IFERROR(IF(A27="","",COUNTIFS(T_Assign[שם],A27,T_Assign[תאריך],"&gt;="&amp;($B$3+0*7),T_Assign[תאריך],"&lt;="&amp;($B$3+0*7+6))),0)</f>
        <v/>
      </c>
      <c r="F27" s="118" t="str">
        <f aca="false">IFERROR(IF(A27="","",COUNTIFS(T_Assign[שם],A27,T_Assign[תאריך],"&gt;="&amp;($B$3+1*7),T_Assign[תאריך],"&lt;="&amp;($B$3+1*7+6))),0)</f>
        <v/>
      </c>
      <c r="G27" s="118" t="str">
        <f aca="false">IFERROR(IF(A27="","",COUNTIFS(T_Assign[שם],A27,T_Assign[תאריך],"&gt;="&amp;($B$3+2*7),T_Assign[תאריך],"&lt;="&amp;($B$3+2*7+6))),0)</f>
        <v/>
      </c>
      <c r="H27" s="118" t="str">
        <f aca="false">IFERROR(IF(A27="","",COUNTIFS(T_Assign[שם],A27,T_Assign[תאריך],"&gt;="&amp;($B$3+3*7),T_Assign[תאריך],"&lt;="&amp;($B$3+3*7+6))),0)</f>
        <v/>
      </c>
      <c r="I27" s="119" t="str">
        <f aca="false">IFERROR(IF(A27="","",SUMPRODUCT((E27&gt;=הגדרות!$C$14)*1+(F27&gt;=הגדרות!$C$14)*1+(G27&gt;=הגדרות!$C$14)*1+(H27&gt;=הגדרות!$C$14)*1)),0)</f>
        <v/>
      </c>
      <c r="J27" s="52" t="str">
        <f aca="false">IFERROR(IF(A27="","",IF(I27&gt;0,"⚡ "&amp;I27&amp;" אירועי עומס","✓ תקין")),"")</f>
        <v/>
      </c>
    </row>
    <row r="28" customFormat="false" ht="15" hidden="false" customHeight="true" outlineLevel="0" collapsed="false">
      <c r="A28" s="114" t="str">
        <f aca="false">IFERROR(IF(נתוני_בסיס!$Y$25="","",נתוני_בסיס!$Y$25),"")</f>
        <v/>
      </c>
      <c r="B28" s="34" t="str">
        <f aca="false">IFERROR(IF(A28="","",IFERROR(INDEX(T_Employees[מחלקה],MATCH(A28,T_Employees[שם],0)),INDEX(T_Consultants[מחלקה],MATCH(A28,T_Consultants[שם יועץ],0)))),"")</f>
        <v/>
      </c>
      <c r="C28" s="113" t="str">
        <f aca="false">IFERROR(IF(A28="","",IF(COUNTIF(T_Consultants[שם יועץ],A28)&gt;0,"יועץ","עובד")),"")</f>
        <v/>
      </c>
      <c r="D28" s="124" t="str">
        <f aca="false">IFERROR(IF(A28="","",COUNTIFS(T_Assign[שם],A28,T_Assign[תאריך],"&gt;="&amp;$B$3,T_Assign[תאריך],"&lt;="&amp;$E$3)),0)</f>
        <v/>
      </c>
      <c r="E28" s="34" t="str">
        <f aca="false">IFERROR(IF(A28="","",COUNTIFS(T_Assign[שם],A28,T_Assign[תאריך],"&gt;="&amp;($B$3+0*7),T_Assign[תאריך],"&lt;="&amp;($B$3+0*7+6))),0)</f>
        <v/>
      </c>
      <c r="F28" s="34" t="str">
        <f aca="false">IFERROR(IF(A28="","",COUNTIFS(T_Assign[שם],A28,T_Assign[תאריך],"&gt;="&amp;($B$3+1*7),T_Assign[תאריך],"&lt;="&amp;($B$3+1*7+6))),0)</f>
        <v/>
      </c>
      <c r="G28" s="34" t="str">
        <f aca="false">IFERROR(IF(A28="","",COUNTIFS(T_Assign[שם],A28,T_Assign[תאריך],"&gt;="&amp;($B$3+2*7),T_Assign[תאריך],"&lt;="&amp;($B$3+2*7+6))),0)</f>
        <v/>
      </c>
      <c r="H28" s="34" t="str">
        <f aca="false">IFERROR(IF(A28="","",COUNTIFS(T_Assign[שם],A28,T_Assign[תאריך],"&gt;="&amp;($B$3+3*7),T_Assign[תאריך],"&lt;="&amp;($B$3+3*7+6))),0)</f>
        <v/>
      </c>
      <c r="I28" s="114" t="str">
        <f aca="false">IFERROR(IF(A28="","",SUMPRODUCT((E28&gt;=הגדרות!$C$14)*1+(F28&gt;=הגדרות!$C$14)*1+(G28&gt;=הגדרות!$C$14)*1+(H28&gt;=הגדרות!$C$14)*1)),0)</f>
        <v/>
      </c>
      <c r="J28" s="49" t="str">
        <f aca="false">IFERROR(IF(A28="","",IF(I28&gt;0,"⚡ "&amp;I28&amp;" אירועי עומס","✓ תקין")),"")</f>
        <v/>
      </c>
    </row>
    <row r="29" customFormat="false" ht="15" hidden="false" customHeight="true" outlineLevel="0" collapsed="false">
      <c r="A29" s="119" t="str">
        <f aca="false">IFERROR(IF(נתוני_בסיס!$Y$26="","",נתוני_בסיס!$Y$26),"")</f>
        <v/>
      </c>
      <c r="B29" s="118" t="str">
        <f aca="false">IFERROR(IF(A29="","",IFERROR(INDEX(T_Employees[מחלקה],MATCH(A29,T_Employees[שם],0)),INDEX(T_Consultants[מחלקה],MATCH(A29,T_Consultants[שם יועץ],0)))),"")</f>
        <v/>
      </c>
      <c r="C29" s="117" t="str">
        <f aca="false">IFERROR(IF(A29="","",IF(COUNTIF(T_Consultants[שם יועץ],A29)&gt;0,"יועץ","עובד")),"")</f>
        <v/>
      </c>
      <c r="D29" s="125" t="str">
        <f aca="false">IFERROR(IF(A29="","",COUNTIFS(T_Assign[שם],A29,T_Assign[תאריך],"&gt;="&amp;$B$3,T_Assign[תאריך],"&lt;="&amp;$E$3)),0)</f>
        <v/>
      </c>
      <c r="E29" s="118" t="str">
        <f aca="false">IFERROR(IF(A29="","",COUNTIFS(T_Assign[שם],A29,T_Assign[תאריך],"&gt;="&amp;($B$3+0*7),T_Assign[תאריך],"&lt;="&amp;($B$3+0*7+6))),0)</f>
        <v/>
      </c>
      <c r="F29" s="118" t="str">
        <f aca="false">IFERROR(IF(A29="","",COUNTIFS(T_Assign[שם],A29,T_Assign[תאריך],"&gt;="&amp;($B$3+1*7),T_Assign[תאריך],"&lt;="&amp;($B$3+1*7+6))),0)</f>
        <v/>
      </c>
      <c r="G29" s="118" t="str">
        <f aca="false">IFERROR(IF(A29="","",COUNTIFS(T_Assign[שם],A29,T_Assign[תאריך],"&gt;="&amp;($B$3+2*7),T_Assign[תאריך],"&lt;="&amp;($B$3+2*7+6))),0)</f>
        <v/>
      </c>
      <c r="H29" s="118" t="str">
        <f aca="false">IFERROR(IF(A29="","",COUNTIFS(T_Assign[שם],A29,T_Assign[תאריך],"&gt;="&amp;($B$3+3*7),T_Assign[תאריך],"&lt;="&amp;($B$3+3*7+6))),0)</f>
        <v/>
      </c>
      <c r="I29" s="119" t="str">
        <f aca="false">IFERROR(IF(A29="","",SUMPRODUCT((E29&gt;=הגדרות!$C$14)*1+(F29&gt;=הגדרות!$C$14)*1+(G29&gt;=הגדרות!$C$14)*1+(H29&gt;=הגדרות!$C$14)*1)),0)</f>
        <v/>
      </c>
      <c r="J29" s="52" t="str">
        <f aca="false">IFERROR(IF(A29="","",IF(I29&gt;0,"⚡ "&amp;I29&amp;" אירועי עומס","✓ תקין")),"")</f>
        <v/>
      </c>
    </row>
    <row r="30" customFormat="false" ht="15" hidden="false" customHeight="true" outlineLevel="0" collapsed="false">
      <c r="A30" s="114" t="str">
        <f aca="false">IFERROR(IF(נתוני_בסיס!$Y$27="","",נתוני_בסיס!$Y$27),"")</f>
        <v/>
      </c>
      <c r="B30" s="34" t="str">
        <f aca="false">IFERROR(IF(A30="","",IFERROR(INDEX(T_Employees[מחלקה],MATCH(A30,T_Employees[שם],0)),INDEX(T_Consultants[מחלקה],MATCH(A30,T_Consultants[שם יועץ],0)))),"")</f>
        <v/>
      </c>
      <c r="C30" s="113" t="str">
        <f aca="false">IFERROR(IF(A30="","",IF(COUNTIF(T_Consultants[שם יועץ],A30)&gt;0,"יועץ","עובד")),"")</f>
        <v/>
      </c>
      <c r="D30" s="124" t="str">
        <f aca="false">IFERROR(IF(A30="","",COUNTIFS(T_Assign[שם],A30,T_Assign[תאריך],"&gt;="&amp;$B$3,T_Assign[תאריך],"&lt;="&amp;$E$3)),0)</f>
        <v/>
      </c>
      <c r="E30" s="34" t="str">
        <f aca="false">IFERROR(IF(A30="","",COUNTIFS(T_Assign[שם],A30,T_Assign[תאריך],"&gt;="&amp;($B$3+0*7),T_Assign[תאריך],"&lt;="&amp;($B$3+0*7+6))),0)</f>
        <v/>
      </c>
      <c r="F30" s="34" t="str">
        <f aca="false">IFERROR(IF(A30="","",COUNTIFS(T_Assign[שם],A30,T_Assign[תאריך],"&gt;="&amp;($B$3+1*7),T_Assign[תאריך],"&lt;="&amp;($B$3+1*7+6))),0)</f>
        <v/>
      </c>
      <c r="G30" s="34" t="str">
        <f aca="false">IFERROR(IF(A30="","",COUNTIFS(T_Assign[שם],A30,T_Assign[תאריך],"&gt;="&amp;($B$3+2*7),T_Assign[תאריך],"&lt;="&amp;($B$3+2*7+6))),0)</f>
        <v/>
      </c>
      <c r="H30" s="34" t="str">
        <f aca="false">IFERROR(IF(A30="","",COUNTIFS(T_Assign[שם],A30,T_Assign[תאריך],"&gt;="&amp;($B$3+3*7),T_Assign[תאריך],"&lt;="&amp;($B$3+3*7+6))),0)</f>
        <v/>
      </c>
      <c r="I30" s="114" t="str">
        <f aca="false">IFERROR(IF(A30="","",SUMPRODUCT((E30&gt;=הגדרות!$C$14)*1+(F30&gt;=הגדרות!$C$14)*1+(G30&gt;=הגדרות!$C$14)*1+(H30&gt;=הגדרות!$C$14)*1)),0)</f>
        <v/>
      </c>
      <c r="J30" s="49" t="str">
        <f aca="false">IFERROR(IF(A30="","",IF(I30&gt;0,"⚡ "&amp;I30&amp;" אירועי עומס","✓ תקין")),"")</f>
        <v/>
      </c>
    </row>
    <row r="31" customFormat="false" ht="15" hidden="false" customHeight="true" outlineLevel="0" collapsed="false">
      <c r="A31" s="119" t="str">
        <f aca="false">IFERROR(IF(נתוני_בסיס!$Y$28="","",נתוני_בסיס!$Y$28),"")</f>
        <v/>
      </c>
      <c r="B31" s="118" t="str">
        <f aca="false">IFERROR(IF(A31="","",IFERROR(INDEX(T_Employees[מחלקה],MATCH(A31,T_Employees[שם],0)),INDEX(T_Consultants[מחלקה],MATCH(A31,T_Consultants[שם יועץ],0)))),"")</f>
        <v/>
      </c>
      <c r="C31" s="117" t="str">
        <f aca="false">IFERROR(IF(A31="","",IF(COUNTIF(T_Consultants[שם יועץ],A31)&gt;0,"יועץ","עובד")),"")</f>
        <v/>
      </c>
      <c r="D31" s="125" t="str">
        <f aca="false">IFERROR(IF(A31="","",COUNTIFS(T_Assign[שם],A31,T_Assign[תאריך],"&gt;="&amp;$B$3,T_Assign[תאריך],"&lt;="&amp;$E$3)),0)</f>
        <v/>
      </c>
      <c r="E31" s="118" t="str">
        <f aca="false">IFERROR(IF(A31="","",COUNTIFS(T_Assign[שם],A31,T_Assign[תאריך],"&gt;="&amp;($B$3+0*7),T_Assign[תאריך],"&lt;="&amp;($B$3+0*7+6))),0)</f>
        <v/>
      </c>
      <c r="F31" s="118" t="str">
        <f aca="false">IFERROR(IF(A31="","",COUNTIFS(T_Assign[שם],A31,T_Assign[תאריך],"&gt;="&amp;($B$3+1*7),T_Assign[תאריך],"&lt;="&amp;($B$3+1*7+6))),0)</f>
        <v/>
      </c>
      <c r="G31" s="118" t="str">
        <f aca="false">IFERROR(IF(A31="","",COUNTIFS(T_Assign[שם],A31,T_Assign[תאריך],"&gt;="&amp;($B$3+2*7),T_Assign[תאריך],"&lt;="&amp;($B$3+2*7+6))),0)</f>
        <v/>
      </c>
      <c r="H31" s="118" t="str">
        <f aca="false">IFERROR(IF(A31="","",COUNTIFS(T_Assign[שם],A31,T_Assign[תאריך],"&gt;="&amp;($B$3+3*7),T_Assign[תאריך],"&lt;="&amp;($B$3+3*7+6))),0)</f>
        <v/>
      </c>
      <c r="I31" s="119" t="str">
        <f aca="false">IFERROR(IF(A31="","",SUMPRODUCT((E31&gt;=הגדרות!$C$14)*1+(F31&gt;=הגדרות!$C$14)*1+(G31&gt;=הגדרות!$C$14)*1+(H31&gt;=הגדרות!$C$14)*1)),0)</f>
        <v/>
      </c>
      <c r="J31" s="52" t="str">
        <f aca="false">IFERROR(IF(A31="","",IF(I31&gt;0,"⚡ "&amp;I31&amp;" אירועי עומס","✓ תקין")),"")</f>
        <v/>
      </c>
    </row>
    <row r="32" customFormat="false" ht="15" hidden="false" customHeight="true" outlineLevel="0" collapsed="false">
      <c r="A32" s="114" t="str">
        <f aca="false">IFERROR(IF(נתוני_בסיס!$Y$29="","",נתוני_בסיס!$Y$29),"")</f>
        <v/>
      </c>
      <c r="B32" s="34" t="str">
        <f aca="false">IFERROR(IF(A32="","",IFERROR(INDEX(T_Employees[מחלקה],MATCH(A32,T_Employees[שם],0)),INDEX(T_Consultants[מחלקה],MATCH(A32,T_Consultants[שם יועץ],0)))),"")</f>
        <v/>
      </c>
      <c r="C32" s="113" t="str">
        <f aca="false">IFERROR(IF(A32="","",IF(COUNTIF(T_Consultants[שם יועץ],A32)&gt;0,"יועץ","עובד")),"")</f>
        <v/>
      </c>
      <c r="D32" s="124" t="str">
        <f aca="false">IFERROR(IF(A32="","",COUNTIFS(T_Assign[שם],A32,T_Assign[תאריך],"&gt;="&amp;$B$3,T_Assign[תאריך],"&lt;="&amp;$E$3)),0)</f>
        <v/>
      </c>
      <c r="E32" s="34" t="str">
        <f aca="false">IFERROR(IF(A32="","",COUNTIFS(T_Assign[שם],A32,T_Assign[תאריך],"&gt;="&amp;($B$3+0*7),T_Assign[תאריך],"&lt;="&amp;($B$3+0*7+6))),0)</f>
        <v/>
      </c>
      <c r="F32" s="34" t="str">
        <f aca="false">IFERROR(IF(A32="","",COUNTIFS(T_Assign[שם],A32,T_Assign[תאריך],"&gt;="&amp;($B$3+1*7),T_Assign[תאריך],"&lt;="&amp;($B$3+1*7+6))),0)</f>
        <v/>
      </c>
      <c r="G32" s="34" t="str">
        <f aca="false">IFERROR(IF(A32="","",COUNTIFS(T_Assign[שם],A32,T_Assign[תאריך],"&gt;="&amp;($B$3+2*7),T_Assign[תאריך],"&lt;="&amp;($B$3+2*7+6))),0)</f>
        <v/>
      </c>
      <c r="H32" s="34" t="str">
        <f aca="false">IFERROR(IF(A32="","",COUNTIFS(T_Assign[שם],A32,T_Assign[תאריך],"&gt;="&amp;($B$3+3*7),T_Assign[תאריך],"&lt;="&amp;($B$3+3*7+6))),0)</f>
        <v/>
      </c>
      <c r="I32" s="114" t="str">
        <f aca="false">IFERROR(IF(A32="","",SUMPRODUCT((E32&gt;=הגדרות!$C$14)*1+(F32&gt;=הגדרות!$C$14)*1+(G32&gt;=הגדרות!$C$14)*1+(H32&gt;=הגדרות!$C$14)*1)),0)</f>
        <v/>
      </c>
      <c r="J32" s="49" t="str">
        <f aca="false">IFERROR(IF(A32="","",IF(I32&gt;0,"⚡ "&amp;I32&amp;" אירועי עומס","✓ תקין")),"")</f>
        <v/>
      </c>
    </row>
    <row r="33" customFormat="false" ht="15" hidden="false" customHeight="true" outlineLevel="0" collapsed="false">
      <c r="A33" s="119" t="str">
        <f aca="false">IFERROR(IF(נתוני_בסיס!$Y$30="","",נתוני_בסיס!$Y$30),"")</f>
        <v/>
      </c>
      <c r="B33" s="118" t="str">
        <f aca="false">IFERROR(IF(A33="","",IFERROR(INDEX(T_Employees[מחלקה],MATCH(A33,T_Employees[שם],0)),INDEX(T_Consultants[מחלקה],MATCH(A33,T_Consultants[שם יועץ],0)))),"")</f>
        <v/>
      </c>
      <c r="C33" s="117" t="str">
        <f aca="false">IFERROR(IF(A33="","",IF(COUNTIF(T_Consultants[שם יועץ],A33)&gt;0,"יועץ","עובד")),"")</f>
        <v/>
      </c>
      <c r="D33" s="125" t="str">
        <f aca="false">IFERROR(IF(A33="","",COUNTIFS(T_Assign[שם],A33,T_Assign[תאריך],"&gt;="&amp;$B$3,T_Assign[תאריך],"&lt;="&amp;$E$3)),0)</f>
        <v/>
      </c>
      <c r="E33" s="118" t="str">
        <f aca="false">IFERROR(IF(A33="","",COUNTIFS(T_Assign[שם],A33,T_Assign[תאריך],"&gt;="&amp;($B$3+0*7),T_Assign[תאריך],"&lt;="&amp;($B$3+0*7+6))),0)</f>
        <v/>
      </c>
      <c r="F33" s="118" t="str">
        <f aca="false">IFERROR(IF(A33="","",COUNTIFS(T_Assign[שם],A33,T_Assign[תאריך],"&gt;="&amp;($B$3+1*7),T_Assign[תאריך],"&lt;="&amp;($B$3+1*7+6))),0)</f>
        <v/>
      </c>
      <c r="G33" s="118" t="str">
        <f aca="false">IFERROR(IF(A33="","",COUNTIFS(T_Assign[שם],A33,T_Assign[תאריך],"&gt;="&amp;($B$3+2*7),T_Assign[תאריך],"&lt;="&amp;($B$3+2*7+6))),0)</f>
        <v/>
      </c>
      <c r="H33" s="118" t="str">
        <f aca="false">IFERROR(IF(A33="","",COUNTIFS(T_Assign[שם],A33,T_Assign[תאריך],"&gt;="&amp;($B$3+3*7),T_Assign[תאריך],"&lt;="&amp;($B$3+3*7+6))),0)</f>
        <v/>
      </c>
      <c r="I33" s="119" t="str">
        <f aca="false">IFERROR(IF(A33="","",SUMPRODUCT((E33&gt;=הגדרות!$C$14)*1+(F33&gt;=הגדרות!$C$14)*1+(G33&gt;=הגדרות!$C$14)*1+(H33&gt;=הגדרות!$C$14)*1)),0)</f>
        <v/>
      </c>
      <c r="J33" s="52" t="str">
        <f aca="false">IFERROR(IF(A33="","",IF(I33&gt;0,"⚡ "&amp;I33&amp;" אירועי עומס","✓ תקין")),"")</f>
        <v/>
      </c>
    </row>
    <row r="34" customFormat="false" ht="15" hidden="false" customHeight="true" outlineLevel="0" collapsed="false">
      <c r="A34" s="114" t="str">
        <f aca="false">IFERROR(IF(נתוני_בסיס!$Y$31="","",נתוני_בסיס!$Y$31),"")</f>
        <v/>
      </c>
      <c r="B34" s="34" t="str">
        <f aca="false">IFERROR(IF(A34="","",IFERROR(INDEX(T_Employees[מחלקה],MATCH(A34,T_Employees[שם],0)),INDEX(T_Consultants[מחלקה],MATCH(A34,T_Consultants[שם יועץ],0)))),"")</f>
        <v/>
      </c>
      <c r="C34" s="113" t="str">
        <f aca="false">IFERROR(IF(A34="","",IF(COUNTIF(T_Consultants[שם יועץ],A34)&gt;0,"יועץ","עובד")),"")</f>
        <v/>
      </c>
      <c r="D34" s="124" t="str">
        <f aca="false">IFERROR(IF(A34="","",COUNTIFS(T_Assign[שם],A34,T_Assign[תאריך],"&gt;="&amp;$B$3,T_Assign[תאריך],"&lt;="&amp;$E$3)),0)</f>
        <v/>
      </c>
      <c r="E34" s="34" t="str">
        <f aca="false">IFERROR(IF(A34="","",COUNTIFS(T_Assign[שם],A34,T_Assign[תאריך],"&gt;="&amp;($B$3+0*7),T_Assign[תאריך],"&lt;="&amp;($B$3+0*7+6))),0)</f>
        <v/>
      </c>
      <c r="F34" s="34" t="str">
        <f aca="false">IFERROR(IF(A34="","",COUNTIFS(T_Assign[שם],A34,T_Assign[תאריך],"&gt;="&amp;($B$3+1*7),T_Assign[תאריך],"&lt;="&amp;($B$3+1*7+6))),0)</f>
        <v/>
      </c>
      <c r="G34" s="34" t="str">
        <f aca="false">IFERROR(IF(A34="","",COUNTIFS(T_Assign[שם],A34,T_Assign[תאריך],"&gt;="&amp;($B$3+2*7),T_Assign[תאריך],"&lt;="&amp;($B$3+2*7+6))),0)</f>
        <v/>
      </c>
      <c r="H34" s="34" t="str">
        <f aca="false">IFERROR(IF(A34="","",COUNTIFS(T_Assign[שם],A34,T_Assign[תאריך],"&gt;="&amp;($B$3+3*7),T_Assign[תאריך],"&lt;="&amp;($B$3+3*7+6))),0)</f>
        <v/>
      </c>
      <c r="I34" s="114" t="str">
        <f aca="false">IFERROR(IF(A34="","",SUMPRODUCT((E34&gt;=הגדרות!$C$14)*1+(F34&gt;=הגדרות!$C$14)*1+(G34&gt;=הגדרות!$C$14)*1+(H34&gt;=הגדרות!$C$14)*1)),0)</f>
        <v/>
      </c>
      <c r="J34" s="49" t="str">
        <f aca="false">IFERROR(IF(A34="","",IF(I34&gt;0,"⚡ "&amp;I34&amp;" אירועי עומס","✓ תקין")),"")</f>
        <v/>
      </c>
    </row>
    <row r="35" customFormat="false" ht="15" hidden="false" customHeight="true" outlineLevel="0" collapsed="false">
      <c r="A35" s="119" t="str">
        <f aca="false">IFERROR(IF(נתוני_בסיס!$Y$32="","",נתוני_בסיס!$Y$32),"")</f>
        <v/>
      </c>
      <c r="B35" s="118" t="str">
        <f aca="false">IFERROR(IF(A35="","",IFERROR(INDEX(T_Employees[מחלקה],MATCH(A35,T_Employees[שם],0)),INDEX(T_Consultants[מחלקה],MATCH(A35,T_Consultants[שם יועץ],0)))),"")</f>
        <v/>
      </c>
      <c r="C35" s="117" t="str">
        <f aca="false">IFERROR(IF(A35="","",IF(COUNTIF(T_Consultants[שם יועץ],A35)&gt;0,"יועץ","עובד")),"")</f>
        <v/>
      </c>
      <c r="D35" s="125" t="str">
        <f aca="false">IFERROR(IF(A35="","",COUNTIFS(T_Assign[שם],A35,T_Assign[תאריך],"&gt;="&amp;$B$3,T_Assign[תאריך],"&lt;="&amp;$E$3)),0)</f>
        <v/>
      </c>
      <c r="E35" s="118" t="str">
        <f aca="false">IFERROR(IF(A35="","",COUNTIFS(T_Assign[שם],A35,T_Assign[תאריך],"&gt;="&amp;($B$3+0*7),T_Assign[תאריך],"&lt;="&amp;($B$3+0*7+6))),0)</f>
        <v/>
      </c>
      <c r="F35" s="118" t="str">
        <f aca="false">IFERROR(IF(A35="","",COUNTIFS(T_Assign[שם],A35,T_Assign[תאריך],"&gt;="&amp;($B$3+1*7),T_Assign[תאריך],"&lt;="&amp;($B$3+1*7+6))),0)</f>
        <v/>
      </c>
      <c r="G35" s="118" t="str">
        <f aca="false">IFERROR(IF(A35="","",COUNTIFS(T_Assign[שם],A35,T_Assign[תאריך],"&gt;="&amp;($B$3+2*7),T_Assign[תאריך],"&lt;="&amp;($B$3+2*7+6))),0)</f>
        <v/>
      </c>
      <c r="H35" s="118" t="str">
        <f aca="false">IFERROR(IF(A35="","",COUNTIFS(T_Assign[שם],A35,T_Assign[תאריך],"&gt;="&amp;($B$3+3*7),T_Assign[תאריך],"&lt;="&amp;($B$3+3*7+6))),0)</f>
        <v/>
      </c>
      <c r="I35" s="119" t="str">
        <f aca="false">IFERROR(IF(A35="","",SUMPRODUCT((E35&gt;=הגדרות!$C$14)*1+(F35&gt;=הגדרות!$C$14)*1+(G35&gt;=הגדרות!$C$14)*1+(H35&gt;=הגדרות!$C$14)*1)),0)</f>
        <v/>
      </c>
      <c r="J35" s="52" t="str">
        <f aca="false">IFERROR(IF(A35="","",IF(I35&gt;0,"⚡ "&amp;I35&amp;" אירועי עומס","✓ תקין")),"")</f>
        <v/>
      </c>
    </row>
    <row r="36" customFormat="false" ht="15" hidden="false" customHeight="true" outlineLevel="0" collapsed="false">
      <c r="A36" s="114" t="str">
        <f aca="false">IFERROR(IF(נתוני_בסיס!$Y$33="","",נתוני_בסיס!$Y$33),"")</f>
        <v/>
      </c>
      <c r="B36" s="34" t="str">
        <f aca="false">IFERROR(IF(A36="","",IFERROR(INDEX(T_Employees[מחלקה],MATCH(A36,T_Employees[שם],0)),INDEX(T_Consultants[מחלקה],MATCH(A36,T_Consultants[שם יועץ],0)))),"")</f>
        <v/>
      </c>
      <c r="C36" s="113" t="str">
        <f aca="false">IFERROR(IF(A36="","",IF(COUNTIF(T_Consultants[שם יועץ],A36)&gt;0,"יועץ","עובד")),"")</f>
        <v/>
      </c>
      <c r="D36" s="124" t="str">
        <f aca="false">IFERROR(IF(A36="","",COUNTIFS(T_Assign[שם],A36,T_Assign[תאריך],"&gt;="&amp;$B$3,T_Assign[תאריך],"&lt;="&amp;$E$3)),0)</f>
        <v/>
      </c>
      <c r="E36" s="34" t="str">
        <f aca="false">IFERROR(IF(A36="","",COUNTIFS(T_Assign[שם],A36,T_Assign[תאריך],"&gt;="&amp;($B$3+0*7),T_Assign[תאריך],"&lt;="&amp;($B$3+0*7+6))),0)</f>
        <v/>
      </c>
      <c r="F36" s="34" t="str">
        <f aca="false">IFERROR(IF(A36="","",COUNTIFS(T_Assign[שם],A36,T_Assign[תאריך],"&gt;="&amp;($B$3+1*7),T_Assign[תאריך],"&lt;="&amp;($B$3+1*7+6))),0)</f>
        <v/>
      </c>
      <c r="G36" s="34" t="str">
        <f aca="false">IFERROR(IF(A36="","",COUNTIFS(T_Assign[שם],A36,T_Assign[תאריך],"&gt;="&amp;($B$3+2*7),T_Assign[תאריך],"&lt;="&amp;($B$3+2*7+6))),0)</f>
        <v/>
      </c>
      <c r="H36" s="34" t="str">
        <f aca="false">IFERROR(IF(A36="","",COUNTIFS(T_Assign[שם],A36,T_Assign[תאריך],"&gt;="&amp;($B$3+3*7),T_Assign[תאריך],"&lt;="&amp;($B$3+3*7+6))),0)</f>
        <v/>
      </c>
      <c r="I36" s="114" t="str">
        <f aca="false">IFERROR(IF(A36="","",SUMPRODUCT((E36&gt;=הגדרות!$C$14)*1+(F36&gt;=הגדרות!$C$14)*1+(G36&gt;=הגדרות!$C$14)*1+(H36&gt;=הגדרות!$C$14)*1)),0)</f>
        <v/>
      </c>
      <c r="J36" s="49" t="str">
        <f aca="false">IFERROR(IF(A36="","",IF(I36&gt;0,"⚡ "&amp;I36&amp;" אירועי עומס","✓ תקין")),"")</f>
        <v/>
      </c>
    </row>
    <row r="37" customFormat="false" ht="15" hidden="false" customHeight="true" outlineLevel="0" collapsed="false">
      <c r="A37" s="119" t="str">
        <f aca="false">IFERROR(IF(נתוני_בסיס!$Y$34="","",נתוני_בסיס!$Y$34),"")</f>
        <v/>
      </c>
      <c r="B37" s="118" t="str">
        <f aca="false">IFERROR(IF(A37="","",IFERROR(INDEX(T_Employees[מחלקה],MATCH(A37,T_Employees[שם],0)),INDEX(T_Consultants[מחלקה],MATCH(A37,T_Consultants[שם יועץ],0)))),"")</f>
        <v/>
      </c>
      <c r="C37" s="117" t="str">
        <f aca="false">IFERROR(IF(A37="","",IF(COUNTIF(T_Consultants[שם יועץ],A37)&gt;0,"יועץ","עובד")),"")</f>
        <v/>
      </c>
      <c r="D37" s="125" t="str">
        <f aca="false">IFERROR(IF(A37="","",COUNTIFS(T_Assign[שם],A37,T_Assign[תאריך],"&gt;="&amp;$B$3,T_Assign[תאריך],"&lt;="&amp;$E$3)),0)</f>
        <v/>
      </c>
      <c r="E37" s="118" t="str">
        <f aca="false">IFERROR(IF(A37="","",COUNTIFS(T_Assign[שם],A37,T_Assign[תאריך],"&gt;="&amp;($B$3+0*7),T_Assign[תאריך],"&lt;="&amp;($B$3+0*7+6))),0)</f>
        <v/>
      </c>
      <c r="F37" s="118" t="str">
        <f aca="false">IFERROR(IF(A37="","",COUNTIFS(T_Assign[שם],A37,T_Assign[תאריך],"&gt;="&amp;($B$3+1*7),T_Assign[תאריך],"&lt;="&amp;($B$3+1*7+6))),0)</f>
        <v/>
      </c>
      <c r="G37" s="118" t="str">
        <f aca="false">IFERROR(IF(A37="","",COUNTIFS(T_Assign[שם],A37,T_Assign[תאריך],"&gt;="&amp;($B$3+2*7),T_Assign[תאריך],"&lt;="&amp;($B$3+2*7+6))),0)</f>
        <v/>
      </c>
      <c r="H37" s="118" t="str">
        <f aca="false">IFERROR(IF(A37="","",COUNTIFS(T_Assign[שם],A37,T_Assign[תאריך],"&gt;="&amp;($B$3+3*7),T_Assign[תאריך],"&lt;="&amp;($B$3+3*7+6))),0)</f>
        <v/>
      </c>
      <c r="I37" s="119" t="str">
        <f aca="false">IFERROR(IF(A37="","",SUMPRODUCT((E37&gt;=הגדרות!$C$14)*1+(F37&gt;=הגדרות!$C$14)*1+(G37&gt;=הגדרות!$C$14)*1+(H37&gt;=הגדרות!$C$14)*1)),0)</f>
        <v/>
      </c>
      <c r="J37" s="52" t="str">
        <f aca="false">IFERROR(IF(A37="","",IF(I37&gt;0,"⚡ "&amp;I37&amp;" אירועי עומס","✓ תקין")),"")</f>
        <v/>
      </c>
    </row>
    <row r="38" customFormat="false" ht="15" hidden="false" customHeight="true" outlineLevel="0" collapsed="false">
      <c r="A38" s="114" t="str">
        <f aca="false">IFERROR(IF(נתוני_בסיס!$Y$35="","",נתוני_בסיס!$Y$35),"")</f>
        <v/>
      </c>
      <c r="B38" s="34" t="str">
        <f aca="false">IFERROR(IF(A38="","",IFERROR(INDEX(T_Employees[מחלקה],MATCH(A38,T_Employees[שם],0)),INDEX(T_Consultants[מחלקה],MATCH(A38,T_Consultants[שם יועץ],0)))),"")</f>
        <v/>
      </c>
      <c r="C38" s="113" t="str">
        <f aca="false">IFERROR(IF(A38="","",IF(COUNTIF(T_Consultants[שם יועץ],A38)&gt;0,"יועץ","עובד")),"")</f>
        <v/>
      </c>
      <c r="D38" s="124" t="str">
        <f aca="false">IFERROR(IF(A38="","",COUNTIFS(T_Assign[שם],A38,T_Assign[תאריך],"&gt;="&amp;$B$3,T_Assign[תאריך],"&lt;="&amp;$E$3)),0)</f>
        <v/>
      </c>
      <c r="E38" s="34" t="str">
        <f aca="false">IFERROR(IF(A38="","",COUNTIFS(T_Assign[שם],A38,T_Assign[תאריך],"&gt;="&amp;($B$3+0*7),T_Assign[תאריך],"&lt;="&amp;($B$3+0*7+6))),0)</f>
        <v/>
      </c>
      <c r="F38" s="34" t="str">
        <f aca="false">IFERROR(IF(A38="","",COUNTIFS(T_Assign[שם],A38,T_Assign[תאריך],"&gt;="&amp;($B$3+1*7),T_Assign[תאריך],"&lt;="&amp;($B$3+1*7+6))),0)</f>
        <v/>
      </c>
      <c r="G38" s="34" t="str">
        <f aca="false">IFERROR(IF(A38="","",COUNTIFS(T_Assign[שם],A38,T_Assign[תאריך],"&gt;="&amp;($B$3+2*7),T_Assign[תאריך],"&lt;="&amp;($B$3+2*7+6))),0)</f>
        <v/>
      </c>
      <c r="H38" s="34" t="str">
        <f aca="false">IFERROR(IF(A38="","",COUNTIFS(T_Assign[שם],A38,T_Assign[תאריך],"&gt;="&amp;($B$3+3*7),T_Assign[תאריך],"&lt;="&amp;($B$3+3*7+6))),0)</f>
        <v/>
      </c>
      <c r="I38" s="114" t="str">
        <f aca="false">IFERROR(IF(A38="","",SUMPRODUCT((E38&gt;=הגדרות!$C$14)*1+(F38&gt;=הגדרות!$C$14)*1+(G38&gt;=הגדרות!$C$14)*1+(H38&gt;=הגדרות!$C$14)*1)),0)</f>
        <v/>
      </c>
      <c r="J38" s="49" t="str">
        <f aca="false">IFERROR(IF(A38="","",IF(I38&gt;0,"⚡ "&amp;I38&amp;" אירועי עומס","✓ תקין")),"")</f>
        <v/>
      </c>
    </row>
    <row r="39" customFormat="false" ht="15" hidden="false" customHeight="true" outlineLevel="0" collapsed="false">
      <c r="A39" s="119" t="str">
        <f aca="false">IFERROR(IF(נתוני_בסיס!$Y$36="","",נתוני_בסיס!$Y$36),"")</f>
        <v/>
      </c>
      <c r="B39" s="118" t="str">
        <f aca="false">IFERROR(IF(A39="","",IFERROR(INDEX(T_Employees[מחלקה],MATCH(A39,T_Employees[שם],0)),INDEX(T_Consultants[מחלקה],MATCH(A39,T_Consultants[שם יועץ],0)))),"")</f>
        <v/>
      </c>
      <c r="C39" s="117" t="str">
        <f aca="false">IFERROR(IF(A39="","",IF(COUNTIF(T_Consultants[שם יועץ],A39)&gt;0,"יועץ","עובד")),"")</f>
        <v/>
      </c>
      <c r="D39" s="125" t="str">
        <f aca="false">IFERROR(IF(A39="","",COUNTIFS(T_Assign[שם],A39,T_Assign[תאריך],"&gt;="&amp;$B$3,T_Assign[תאריך],"&lt;="&amp;$E$3)),0)</f>
        <v/>
      </c>
      <c r="E39" s="118" t="str">
        <f aca="false">IFERROR(IF(A39="","",COUNTIFS(T_Assign[שם],A39,T_Assign[תאריך],"&gt;="&amp;($B$3+0*7),T_Assign[תאריך],"&lt;="&amp;($B$3+0*7+6))),0)</f>
        <v/>
      </c>
      <c r="F39" s="118" t="str">
        <f aca="false">IFERROR(IF(A39="","",COUNTIFS(T_Assign[שם],A39,T_Assign[תאריך],"&gt;="&amp;($B$3+1*7),T_Assign[תאריך],"&lt;="&amp;($B$3+1*7+6))),0)</f>
        <v/>
      </c>
      <c r="G39" s="118" t="str">
        <f aca="false">IFERROR(IF(A39="","",COUNTIFS(T_Assign[שם],A39,T_Assign[תאריך],"&gt;="&amp;($B$3+2*7),T_Assign[תאריך],"&lt;="&amp;($B$3+2*7+6))),0)</f>
        <v/>
      </c>
      <c r="H39" s="118" t="str">
        <f aca="false">IFERROR(IF(A39="","",COUNTIFS(T_Assign[שם],A39,T_Assign[תאריך],"&gt;="&amp;($B$3+3*7),T_Assign[תאריך],"&lt;="&amp;($B$3+3*7+6))),0)</f>
        <v/>
      </c>
      <c r="I39" s="119" t="str">
        <f aca="false">IFERROR(IF(A39="","",SUMPRODUCT((E39&gt;=הגדרות!$C$14)*1+(F39&gt;=הגדרות!$C$14)*1+(G39&gt;=הגדרות!$C$14)*1+(H39&gt;=הגדרות!$C$14)*1)),0)</f>
        <v/>
      </c>
      <c r="J39" s="52" t="str">
        <f aca="false">IFERROR(IF(A39="","",IF(I39&gt;0,"⚡ "&amp;I39&amp;" אירועי עומס","✓ תקין")),"")</f>
        <v/>
      </c>
    </row>
    <row r="40" customFormat="false" ht="15" hidden="false" customHeight="true" outlineLevel="0" collapsed="false">
      <c r="A40" s="114" t="str">
        <f aca="false">IFERROR(IF(נתוני_בסיס!$Y$37="","",נתוני_בסיס!$Y$37),"")</f>
        <v/>
      </c>
      <c r="B40" s="34" t="str">
        <f aca="false">IFERROR(IF(A40="","",IFERROR(INDEX(T_Employees[מחלקה],MATCH(A40,T_Employees[שם],0)),INDEX(T_Consultants[מחלקה],MATCH(A40,T_Consultants[שם יועץ],0)))),"")</f>
        <v/>
      </c>
      <c r="C40" s="113" t="str">
        <f aca="false">IFERROR(IF(A40="","",IF(COUNTIF(T_Consultants[שם יועץ],A40)&gt;0,"יועץ","עובד")),"")</f>
        <v/>
      </c>
      <c r="D40" s="124" t="str">
        <f aca="false">IFERROR(IF(A40="","",COUNTIFS(T_Assign[שם],A40,T_Assign[תאריך],"&gt;="&amp;$B$3,T_Assign[תאריך],"&lt;="&amp;$E$3)),0)</f>
        <v/>
      </c>
      <c r="E40" s="34" t="str">
        <f aca="false">IFERROR(IF(A40="","",COUNTIFS(T_Assign[שם],A40,T_Assign[תאריך],"&gt;="&amp;($B$3+0*7),T_Assign[תאריך],"&lt;="&amp;($B$3+0*7+6))),0)</f>
        <v/>
      </c>
      <c r="F40" s="34" t="str">
        <f aca="false">IFERROR(IF(A40="","",COUNTIFS(T_Assign[שם],A40,T_Assign[תאריך],"&gt;="&amp;($B$3+1*7),T_Assign[תאריך],"&lt;="&amp;($B$3+1*7+6))),0)</f>
        <v/>
      </c>
      <c r="G40" s="34" t="str">
        <f aca="false">IFERROR(IF(A40="","",COUNTIFS(T_Assign[שם],A40,T_Assign[תאריך],"&gt;="&amp;($B$3+2*7),T_Assign[תאריך],"&lt;="&amp;($B$3+2*7+6))),0)</f>
        <v/>
      </c>
      <c r="H40" s="34" t="str">
        <f aca="false">IFERROR(IF(A40="","",COUNTIFS(T_Assign[שם],A40,T_Assign[תאריך],"&gt;="&amp;($B$3+3*7),T_Assign[תאריך],"&lt;="&amp;($B$3+3*7+6))),0)</f>
        <v/>
      </c>
      <c r="I40" s="114" t="str">
        <f aca="false">IFERROR(IF(A40="","",SUMPRODUCT((E40&gt;=הגדרות!$C$14)*1+(F40&gt;=הגדרות!$C$14)*1+(G40&gt;=הגדרות!$C$14)*1+(H40&gt;=הגדרות!$C$14)*1)),0)</f>
        <v/>
      </c>
      <c r="J40" s="49" t="str">
        <f aca="false">IFERROR(IF(A40="","",IF(I40&gt;0,"⚡ "&amp;I40&amp;" אירועי עומס","✓ תקין")),"")</f>
        <v/>
      </c>
    </row>
    <row r="41" customFormat="false" ht="15" hidden="false" customHeight="true" outlineLevel="0" collapsed="false">
      <c r="A41" s="119" t="str">
        <f aca="false">IFERROR(IF(נתוני_בסיס!$Y$38="","",נתוני_בסיס!$Y$38),"")</f>
        <v/>
      </c>
      <c r="B41" s="118" t="str">
        <f aca="false">IFERROR(IF(A41="","",IFERROR(INDEX(T_Employees[מחלקה],MATCH(A41,T_Employees[שם],0)),INDEX(T_Consultants[מחלקה],MATCH(A41,T_Consultants[שם יועץ],0)))),"")</f>
        <v/>
      </c>
      <c r="C41" s="117" t="str">
        <f aca="false">IFERROR(IF(A41="","",IF(COUNTIF(T_Consultants[שם יועץ],A41)&gt;0,"יועץ","עובד")),"")</f>
        <v/>
      </c>
      <c r="D41" s="125" t="str">
        <f aca="false">IFERROR(IF(A41="","",COUNTIFS(T_Assign[שם],A41,T_Assign[תאריך],"&gt;="&amp;$B$3,T_Assign[תאריך],"&lt;="&amp;$E$3)),0)</f>
        <v/>
      </c>
      <c r="E41" s="118" t="str">
        <f aca="false">IFERROR(IF(A41="","",COUNTIFS(T_Assign[שם],A41,T_Assign[תאריך],"&gt;="&amp;($B$3+0*7),T_Assign[תאריך],"&lt;="&amp;($B$3+0*7+6))),0)</f>
        <v/>
      </c>
      <c r="F41" s="118" t="str">
        <f aca="false">IFERROR(IF(A41="","",COUNTIFS(T_Assign[שם],A41,T_Assign[תאריך],"&gt;="&amp;($B$3+1*7),T_Assign[תאריך],"&lt;="&amp;($B$3+1*7+6))),0)</f>
        <v/>
      </c>
      <c r="G41" s="118" t="str">
        <f aca="false">IFERROR(IF(A41="","",COUNTIFS(T_Assign[שם],A41,T_Assign[תאריך],"&gt;="&amp;($B$3+2*7),T_Assign[תאריך],"&lt;="&amp;($B$3+2*7+6))),0)</f>
        <v/>
      </c>
      <c r="H41" s="118" t="str">
        <f aca="false">IFERROR(IF(A41="","",COUNTIFS(T_Assign[שם],A41,T_Assign[תאריך],"&gt;="&amp;($B$3+3*7),T_Assign[תאריך],"&lt;="&amp;($B$3+3*7+6))),0)</f>
        <v/>
      </c>
      <c r="I41" s="119" t="str">
        <f aca="false">IFERROR(IF(A41="","",SUMPRODUCT((E41&gt;=הגדרות!$C$14)*1+(F41&gt;=הגדרות!$C$14)*1+(G41&gt;=הגדרות!$C$14)*1+(H41&gt;=הגדרות!$C$14)*1)),0)</f>
        <v/>
      </c>
      <c r="J41" s="52" t="str">
        <f aca="false">IFERROR(IF(A41="","",IF(I41&gt;0,"⚡ "&amp;I41&amp;" אירועי עומס","✓ תקין")),"")</f>
        <v/>
      </c>
    </row>
    <row r="42" customFormat="false" ht="15" hidden="false" customHeight="true" outlineLevel="0" collapsed="false">
      <c r="A42" s="114" t="str">
        <f aca="false">IFERROR(IF(נתוני_בסיס!$Y$39="","",נתוני_בסיס!$Y$39),"")</f>
        <v/>
      </c>
      <c r="B42" s="34" t="str">
        <f aca="false">IFERROR(IF(A42="","",IFERROR(INDEX(T_Employees[מחלקה],MATCH(A42,T_Employees[שם],0)),INDEX(T_Consultants[מחלקה],MATCH(A42,T_Consultants[שם יועץ],0)))),"")</f>
        <v/>
      </c>
      <c r="C42" s="113" t="str">
        <f aca="false">IFERROR(IF(A42="","",IF(COUNTIF(T_Consultants[שם יועץ],A42)&gt;0,"יועץ","עובד")),"")</f>
        <v/>
      </c>
      <c r="D42" s="124" t="str">
        <f aca="false">IFERROR(IF(A42="","",COUNTIFS(T_Assign[שם],A42,T_Assign[תאריך],"&gt;="&amp;$B$3,T_Assign[תאריך],"&lt;="&amp;$E$3)),0)</f>
        <v/>
      </c>
      <c r="E42" s="34" t="str">
        <f aca="false">IFERROR(IF(A42="","",COUNTIFS(T_Assign[שם],A42,T_Assign[תאריך],"&gt;="&amp;($B$3+0*7),T_Assign[תאריך],"&lt;="&amp;($B$3+0*7+6))),0)</f>
        <v/>
      </c>
      <c r="F42" s="34" t="str">
        <f aca="false">IFERROR(IF(A42="","",COUNTIFS(T_Assign[שם],A42,T_Assign[תאריך],"&gt;="&amp;($B$3+1*7),T_Assign[תאריך],"&lt;="&amp;($B$3+1*7+6))),0)</f>
        <v/>
      </c>
      <c r="G42" s="34" t="str">
        <f aca="false">IFERROR(IF(A42="","",COUNTIFS(T_Assign[שם],A42,T_Assign[תאריך],"&gt;="&amp;($B$3+2*7),T_Assign[תאריך],"&lt;="&amp;($B$3+2*7+6))),0)</f>
        <v/>
      </c>
      <c r="H42" s="34" t="str">
        <f aca="false">IFERROR(IF(A42="","",COUNTIFS(T_Assign[שם],A42,T_Assign[תאריך],"&gt;="&amp;($B$3+3*7),T_Assign[תאריך],"&lt;="&amp;($B$3+3*7+6))),0)</f>
        <v/>
      </c>
      <c r="I42" s="114" t="str">
        <f aca="false">IFERROR(IF(A42="","",SUMPRODUCT((E42&gt;=הגדרות!$C$14)*1+(F42&gt;=הגדרות!$C$14)*1+(G42&gt;=הגדרות!$C$14)*1+(H42&gt;=הגדרות!$C$14)*1)),0)</f>
        <v/>
      </c>
      <c r="J42" s="49" t="str">
        <f aca="false">IFERROR(IF(A42="","",IF(I42&gt;0,"⚡ "&amp;I42&amp;" אירועי עומס","✓ תקין")),"")</f>
        <v/>
      </c>
    </row>
    <row r="43" customFormat="false" ht="15" hidden="false" customHeight="true" outlineLevel="0" collapsed="false">
      <c r="A43" s="119" t="str">
        <f aca="false">IFERROR(IF(נתוני_בסיס!$Y$40="","",נתוני_בסיס!$Y$40),"")</f>
        <v/>
      </c>
      <c r="B43" s="118" t="str">
        <f aca="false">IFERROR(IF(A43="","",IFERROR(INDEX(T_Employees[מחלקה],MATCH(A43,T_Employees[שם],0)),INDEX(T_Consultants[מחלקה],MATCH(A43,T_Consultants[שם יועץ],0)))),"")</f>
        <v/>
      </c>
      <c r="C43" s="117" t="str">
        <f aca="false">IFERROR(IF(A43="","",IF(COUNTIF(T_Consultants[שם יועץ],A43)&gt;0,"יועץ","עובד")),"")</f>
        <v/>
      </c>
      <c r="D43" s="125" t="str">
        <f aca="false">IFERROR(IF(A43="","",COUNTIFS(T_Assign[שם],A43,T_Assign[תאריך],"&gt;="&amp;$B$3,T_Assign[תאריך],"&lt;="&amp;$E$3)),0)</f>
        <v/>
      </c>
      <c r="E43" s="118" t="str">
        <f aca="false">IFERROR(IF(A43="","",COUNTIFS(T_Assign[שם],A43,T_Assign[תאריך],"&gt;="&amp;($B$3+0*7),T_Assign[תאריך],"&lt;="&amp;($B$3+0*7+6))),0)</f>
        <v/>
      </c>
      <c r="F43" s="118" t="str">
        <f aca="false">IFERROR(IF(A43="","",COUNTIFS(T_Assign[שם],A43,T_Assign[תאריך],"&gt;="&amp;($B$3+1*7),T_Assign[תאריך],"&lt;="&amp;($B$3+1*7+6))),0)</f>
        <v/>
      </c>
      <c r="G43" s="118" t="str">
        <f aca="false">IFERROR(IF(A43="","",COUNTIFS(T_Assign[שם],A43,T_Assign[תאריך],"&gt;="&amp;($B$3+2*7),T_Assign[תאריך],"&lt;="&amp;($B$3+2*7+6))),0)</f>
        <v/>
      </c>
      <c r="H43" s="118" t="str">
        <f aca="false">IFERROR(IF(A43="","",COUNTIFS(T_Assign[שם],A43,T_Assign[תאריך],"&gt;="&amp;($B$3+3*7),T_Assign[תאריך],"&lt;="&amp;($B$3+3*7+6))),0)</f>
        <v/>
      </c>
      <c r="I43" s="119" t="str">
        <f aca="false">IFERROR(IF(A43="","",SUMPRODUCT((E43&gt;=הגדרות!$C$14)*1+(F43&gt;=הגדרות!$C$14)*1+(G43&gt;=הגדרות!$C$14)*1+(H43&gt;=הגדרות!$C$14)*1)),0)</f>
        <v/>
      </c>
      <c r="J43" s="52" t="str">
        <f aca="false">IFERROR(IF(A43="","",IF(I43&gt;0,"⚡ "&amp;I43&amp;" אירועי עומס","✓ תקין")),"")</f>
        <v/>
      </c>
    </row>
    <row r="44" customFormat="false" ht="15" hidden="false" customHeight="true" outlineLevel="0" collapsed="false">
      <c r="A44" s="114" t="str">
        <f aca="false">IFERROR(IF(נתוני_בסיס!$Y$41="","",נתוני_בסיס!$Y$41),"")</f>
        <v/>
      </c>
      <c r="B44" s="34" t="str">
        <f aca="false">IFERROR(IF(A44="","",IFERROR(INDEX(T_Employees[מחלקה],MATCH(A44,T_Employees[שם],0)),INDEX(T_Consultants[מחלקה],MATCH(A44,T_Consultants[שם יועץ],0)))),"")</f>
        <v/>
      </c>
      <c r="C44" s="113" t="str">
        <f aca="false">IFERROR(IF(A44="","",IF(COUNTIF(T_Consultants[שם יועץ],A44)&gt;0,"יועץ","עובד")),"")</f>
        <v/>
      </c>
      <c r="D44" s="124" t="str">
        <f aca="false">IFERROR(IF(A44="","",COUNTIFS(T_Assign[שם],A44,T_Assign[תאריך],"&gt;="&amp;$B$3,T_Assign[תאריך],"&lt;="&amp;$E$3)),0)</f>
        <v/>
      </c>
      <c r="E44" s="34" t="str">
        <f aca="false">IFERROR(IF(A44="","",COUNTIFS(T_Assign[שם],A44,T_Assign[תאריך],"&gt;="&amp;($B$3+0*7),T_Assign[תאריך],"&lt;="&amp;($B$3+0*7+6))),0)</f>
        <v/>
      </c>
      <c r="F44" s="34" t="str">
        <f aca="false">IFERROR(IF(A44="","",COUNTIFS(T_Assign[שם],A44,T_Assign[תאריך],"&gt;="&amp;($B$3+1*7),T_Assign[תאריך],"&lt;="&amp;($B$3+1*7+6))),0)</f>
        <v/>
      </c>
      <c r="G44" s="34" t="str">
        <f aca="false">IFERROR(IF(A44="","",COUNTIFS(T_Assign[שם],A44,T_Assign[תאריך],"&gt;="&amp;($B$3+2*7),T_Assign[תאריך],"&lt;="&amp;($B$3+2*7+6))),0)</f>
        <v/>
      </c>
      <c r="H44" s="34" t="str">
        <f aca="false">IFERROR(IF(A44="","",COUNTIFS(T_Assign[שם],A44,T_Assign[תאריך],"&gt;="&amp;($B$3+3*7),T_Assign[תאריך],"&lt;="&amp;($B$3+3*7+6))),0)</f>
        <v/>
      </c>
      <c r="I44" s="114" t="str">
        <f aca="false">IFERROR(IF(A44="","",SUMPRODUCT((E44&gt;=הגדרות!$C$14)*1+(F44&gt;=הגדרות!$C$14)*1+(G44&gt;=הגדרות!$C$14)*1+(H44&gt;=הגדרות!$C$14)*1)),0)</f>
        <v/>
      </c>
      <c r="J44" s="49" t="str">
        <f aca="false">IFERROR(IF(A44="","",IF(I44&gt;0,"⚡ "&amp;I44&amp;" אירועי עומס","✓ תקין")),"")</f>
        <v/>
      </c>
    </row>
    <row r="45" customFormat="false" ht="15" hidden="false" customHeight="true" outlineLevel="0" collapsed="false">
      <c r="A45" s="119" t="str">
        <f aca="false">IFERROR(IF(נתוני_בסיס!$Y$42="","",נתוני_בסיס!$Y$42),"")</f>
        <v/>
      </c>
      <c r="B45" s="118" t="str">
        <f aca="false">IFERROR(IF(A45="","",IFERROR(INDEX(T_Employees[מחלקה],MATCH(A45,T_Employees[שם],0)),INDEX(T_Consultants[מחלקה],MATCH(A45,T_Consultants[שם יועץ],0)))),"")</f>
        <v/>
      </c>
      <c r="C45" s="117" t="str">
        <f aca="false">IFERROR(IF(A45="","",IF(COUNTIF(T_Consultants[שם יועץ],A45)&gt;0,"יועץ","עובד")),"")</f>
        <v/>
      </c>
      <c r="D45" s="125" t="str">
        <f aca="false">IFERROR(IF(A45="","",COUNTIFS(T_Assign[שם],A45,T_Assign[תאריך],"&gt;="&amp;$B$3,T_Assign[תאריך],"&lt;="&amp;$E$3)),0)</f>
        <v/>
      </c>
      <c r="E45" s="118" t="str">
        <f aca="false">IFERROR(IF(A45="","",COUNTIFS(T_Assign[שם],A45,T_Assign[תאריך],"&gt;="&amp;($B$3+0*7),T_Assign[תאריך],"&lt;="&amp;($B$3+0*7+6))),0)</f>
        <v/>
      </c>
      <c r="F45" s="118" t="str">
        <f aca="false">IFERROR(IF(A45="","",COUNTIFS(T_Assign[שם],A45,T_Assign[תאריך],"&gt;="&amp;($B$3+1*7),T_Assign[תאריך],"&lt;="&amp;($B$3+1*7+6))),0)</f>
        <v/>
      </c>
      <c r="G45" s="118" t="str">
        <f aca="false">IFERROR(IF(A45="","",COUNTIFS(T_Assign[שם],A45,T_Assign[תאריך],"&gt;="&amp;($B$3+2*7),T_Assign[תאריך],"&lt;="&amp;($B$3+2*7+6))),0)</f>
        <v/>
      </c>
      <c r="H45" s="118" t="str">
        <f aca="false">IFERROR(IF(A45="","",COUNTIFS(T_Assign[שם],A45,T_Assign[תאריך],"&gt;="&amp;($B$3+3*7),T_Assign[תאריך],"&lt;="&amp;($B$3+3*7+6))),0)</f>
        <v/>
      </c>
      <c r="I45" s="119" t="str">
        <f aca="false">IFERROR(IF(A45="","",SUMPRODUCT((E45&gt;=הגדרות!$C$14)*1+(F45&gt;=הגדרות!$C$14)*1+(G45&gt;=הגדרות!$C$14)*1+(H45&gt;=הגדרות!$C$14)*1)),0)</f>
        <v/>
      </c>
      <c r="J45" s="52" t="str">
        <f aca="false">IFERROR(IF(A45="","",IF(I45&gt;0,"⚡ "&amp;I45&amp;" אירועי עומס","✓ תקין")),"")</f>
        <v/>
      </c>
    </row>
    <row r="46" customFormat="false" ht="15" hidden="false" customHeight="true" outlineLevel="0" collapsed="false">
      <c r="A46" s="114" t="str">
        <f aca="false">IFERROR(IF(נתוני_בסיס!$Y$43="","",נתוני_בסיס!$Y$43),"")</f>
        <v/>
      </c>
      <c r="B46" s="34" t="str">
        <f aca="false">IFERROR(IF(A46="","",IFERROR(INDEX(T_Employees[מחלקה],MATCH(A46,T_Employees[שם],0)),INDEX(T_Consultants[מחלקה],MATCH(A46,T_Consultants[שם יועץ],0)))),"")</f>
        <v/>
      </c>
      <c r="C46" s="113" t="str">
        <f aca="false">IFERROR(IF(A46="","",IF(COUNTIF(T_Consultants[שם יועץ],A46)&gt;0,"יועץ","עובד")),"")</f>
        <v/>
      </c>
      <c r="D46" s="124" t="str">
        <f aca="false">IFERROR(IF(A46="","",COUNTIFS(T_Assign[שם],A46,T_Assign[תאריך],"&gt;="&amp;$B$3,T_Assign[תאריך],"&lt;="&amp;$E$3)),0)</f>
        <v/>
      </c>
      <c r="E46" s="34" t="str">
        <f aca="false">IFERROR(IF(A46="","",COUNTIFS(T_Assign[שם],A46,T_Assign[תאריך],"&gt;="&amp;($B$3+0*7),T_Assign[תאריך],"&lt;="&amp;($B$3+0*7+6))),0)</f>
        <v/>
      </c>
      <c r="F46" s="34" t="str">
        <f aca="false">IFERROR(IF(A46="","",COUNTIFS(T_Assign[שם],A46,T_Assign[תאריך],"&gt;="&amp;($B$3+1*7),T_Assign[תאריך],"&lt;="&amp;($B$3+1*7+6))),0)</f>
        <v/>
      </c>
      <c r="G46" s="34" t="str">
        <f aca="false">IFERROR(IF(A46="","",COUNTIFS(T_Assign[שם],A46,T_Assign[תאריך],"&gt;="&amp;($B$3+2*7),T_Assign[תאריך],"&lt;="&amp;($B$3+2*7+6))),0)</f>
        <v/>
      </c>
      <c r="H46" s="34" t="str">
        <f aca="false">IFERROR(IF(A46="","",COUNTIFS(T_Assign[שם],A46,T_Assign[תאריך],"&gt;="&amp;($B$3+3*7),T_Assign[תאריך],"&lt;="&amp;($B$3+3*7+6))),0)</f>
        <v/>
      </c>
      <c r="I46" s="114" t="str">
        <f aca="false">IFERROR(IF(A46="","",SUMPRODUCT((E46&gt;=הגדרות!$C$14)*1+(F46&gt;=הגדרות!$C$14)*1+(G46&gt;=הגדרות!$C$14)*1+(H46&gt;=הגדרות!$C$14)*1)),0)</f>
        <v/>
      </c>
      <c r="J46" s="49" t="str">
        <f aca="false">IFERROR(IF(A46="","",IF(I46&gt;0,"⚡ "&amp;I46&amp;" אירועי עומס","✓ תקין")),"")</f>
        <v/>
      </c>
    </row>
    <row r="47" customFormat="false" ht="15" hidden="false" customHeight="true" outlineLevel="0" collapsed="false">
      <c r="A47" s="119" t="str">
        <f aca="false">IFERROR(IF(נתוני_בסיס!$Y$44="","",נתוני_בסיס!$Y$44),"")</f>
        <v/>
      </c>
      <c r="B47" s="118" t="str">
        <f aca="false">IFERROR(IF(A47="","",IFERROR(INDEX(T_Employees[מחלקה],MATCH(A47,T_Employees[שם],0)),INDEX(T_Consultants[מחלקה],MATCH(A47,T_Consultants[שם יועץ],0)))),"")</f>
        <v/>
      </c>
      <c r="C47" s="117" t="str">
        <f aca="false">IFERROR(IF(A47="","",IF(COUNTIF(T_Consultants[שם יועץ],A47)&gt;0,"יועץ","עובד")),"")</f>
        <v/>
      </c>
      <c r="D47" s="125" t="str">
        <f aca="false">IFERROR(IF(A47="","",COUNTIFS(T_Assign[שם],A47,T_Assign[תאריך],"&gt;="&amp;$B$3,T_Assign[תאריך],"&lt;="&amp;$E$3)),0)</f>
        <v/>
      </c>
      <c r="E47" s="118" t="str">
        <f aca="false">IFERROR(IF(A47="","",COUNTIFS(T_Assign[שם],A47,T_Assign[תאריך],"&gt;="&amp;($B$3+0*7),T_Assign[תאריך],"&lt;="&amp;($B$3+0*7+6))),0)</f>
        <v/>
      </c>
      <c r="F47" s="118" t="str">
        <f aca="false">IFERROR(IF(A47="","",COUNTIFS(T_Assign[שם],A47,T_Assign[תאריך],"&gt;="&amp;($B$3+1*7),T_Assign[תאריך],"&lt;="&amp;($B$3+1*7+6))),0)</f>
        <v/>
      </c>
      <c r="G47" s="118" t="str">
        <f aca="false">IFERROR(IF(A47="","",COUNTIFS(T_Assign[שם],A47,T_Assign[תאריך],"&gt;="&amp;($B$3+2*7),T_Assign[תאריך],"&lt;="&amp;($B$3+2*7+6))),0)</f>
        <v/>
      </c>
      <c r="H47" s="118" t="str">
        <f aca="false">IFERROR(IF(A47="","",COUNTIFS(T_Assign[שם],A47,T_Assign[תאריך],"&gt;="&amp;($B$3+3*7),T_Assign[תאריך],"&lt;="&amp;($B$3+3*7+6))),0)</f>
        <v/>
      </c>
      <c r="I47" s="119" t="str">
        <f aca="false">IFERROR(IF(A47="","",SUMPRODUCT((E47&gt;=הגדרות!$C$14)*1+(F47&gt;=הגדרות!$C$14)*1+(G47&gt;=הגדרות!$C$14)*1+(H47&gt;=הגדרות!$C$14)*1)),0)</f>
        <v/>
      </c>
      <c r="J47" s="52" t="str">
        <f aca="false">IFERROR(IF(A47="","",IF(I47&gt;0,"⚡ "&amp;I47&amp;" אירועי עומס","✓ תקין")),"")</f>
        <v/>
      </c>
    </row>
    <row r="48" customFormat="false" ht="15" hidden="false" customHeight="true" outlineLevel="0" collapsed="false">
      <c r="A48" s="114" t="str">
        <f aca="false">IFERROR(IF(נתוני_בסיס!$Y$45="","",נתוני_בסיס!$Y$45),"")</f>
        <v/>
      </c>
      <c r="B48" s="34" t="str">
        <f aca="false">IFERROR(IF(A48="","",IFERROR(INDEX(T_Employees[מחלקה],MATCH(A48,T_Employees[שם],0)),INDEX(T_Consultants[מחלקה],MATCH(A48,T_Consultants[שם יועץ],0)))),"")</f>
        <v/>
      </c>
      <c r="C48" s="113" t="str">
        <f aca="false">IFERROR(IF(A48="","",IF(COUNTIF(T_Consultants[שם יועץ],A48)&gt;0,"יועץ","עובד")),"")</f>
        <v/>
      </c>
      <c r="D48" s="124" t="str">
        <f aca="false">IFERROR(IF(A48="","",COUNTIFS(T_Assign[שם],A48,T_Assign[תאריך],"&gt;="&amp;$B$3,T_Assign[תאריך],"&lt;="&amp;$E$3)),0)</f>
        <v/>
      </c>
      <c r="E48" s="34" t="str">
        <f aca="false">IFERROR(IF(A48="","",COUNTIFS(T_Assign[שם],A48,T_Assign[תאריך],"&gt;="&amp;($B$3+0*7),T_Assign[תאריך],"&lt;="&amp;($B$3+0*7+6))),0)</f>
        <v/>
      </c>
      <c r="F48" s="34" t="str">
        <f aca="false">IFERROR(IF(A48="","",COUNTIFS(T_Assign[שם],A48,T_Assign[תאריך],"&gt;="&amp;($B$3+1*7),T_Assign[תאריך],"&lt;="&amp;($B$3+1*7+6))),0)</f>
        <v/>
      </c>
      <c r="G48" s="34" t="str">
        <f aca="false">IFERROR(IF(A48="","",COUNTIFS(T_Assign[שם],A48,T_Assign[תאריך],"&gt;="&amp;($B$3+2*7),T_Assign[תאריך],"&lt;="&amp;($B$3+2*7+6))),0)</f>
        <v/>
      </c>
      <c r="H48" s="34" t="str">
        <f aca="false">IFERROR(IF(A48="","",COUNTIFS(T_Assign[שם],A48,T_Assign[תאריך],"&gt;="&amp;($B$3+3*7),T_Assign[תאריך],"&lt;="&amp;($B$3+3*7+6))),0)</f>
        <v/>
      </c>
      <c r="I48" s="114" t="str">
        <f aca="false">IFERROR(IF(A48="","",SUMPRODUCT((E48&gt;=הגדרות!$C$14)*1+(F48&gt;=הגדרות!$C$14)*1+(G48&gt;=הגדרות!$C$14)*1+(H48&gt;=הגדרות!$C$14)*1)),0)</f>
        <v/>
      </c>
      <c r="J48" s="49" t="str">
        <f aca="false">IFERROR(IF(A48="","",IF(I48&gt;0,"⚡ "&amp;I48&amp;" אירועי עומס","✓ תקין")),"")</f>
        <v/>
      </c>
    </row>
    <row r="49" customFormat="false" ht="15" hidden="false" customHeight="true" outlineLevel="0" collapsed="false">
      <c r="A49" s="119" t="str">
        <f aca="false">IFERROR(IF(נתוני_בסיס!$Y$46="","",נתוני_בסיס!$Y$46),"")</f>
        <v/>
      </c>
      <c r="B49" s="118" t="str">
        <f aca="false">IFERROR(IF(A49="","",IFERROR(INDEX(T_Employees[מחלקה],MATCH(A49,T_Employees[שם],0)),INDEX(T_Consultants[מחלקה],MATCH(A49,T_Consultants[שם יועץ],0)))),"")</f>
        <v/>
      </c>
      <c r="C49" s="117" t="str">
        <f aca="false">IFERROR(IF(A49="","",IF(COUNTIF(T_Consultants[שם יועץ],A49)&gt;0,"יועץ","עובד")),"")</f>
        <v/>
      </c>
      <c r="D49" s="125" t="str">
        <f aca="false">IFERROR(IF(A49="","",COUNTIFS(T_Assign[שם],A49,T_Assign[תאריך],"&gt;="&amp;$B$3,T_Assign[תאריך],"&lt;="&amp;$E$3)),0)</f>
        <v/>
      </c>
      <c r="E49" s="118" t="str">
        <f aca="false">IFERROR(IF(A49="","",COUNTIFS(T_Assign[שם],A49,T_Assign[תאריך],"&gt;="&amp;($B$3+0*7),T_Assign[תאריך],"&lt;="&amp;($B$3+0*7+6))),0)</f>
        <v/>
      </c>
      <c r="F49" s="118" t="str">
        <f aca="false">IFERROR(IF(A49="","",COUNTIFS(T_Assign[שם],A49,T_Assign[תאריך],"&gt;="&amp;($B$3+1*7),T_Assign[תאריך],"&lt;="&amp;($B$3+1*7+6))),0)</f>
        <v/>
      </c>
      <c r="G49" s="118" t="str">
        <f aca="false">IFERROR(IF(A49="","",COUNTIFS(T_Assign[שם],A49,T_Assign[תאריך],"&gt;="&amp;($B$3+2*7),T_Assign[תאריך],"&lt;="&amp;($B$3+2*7+6))),0)</f>
        <v/>
      </c>
      <c r="H49" s="118" t="str">
        <f aca="false">IFERROR(IF(A49="","",COUNTIFS(T_Assign[שם],A49,T_Assign[תאריך],"&gt;="&amp;($B$3+3*7),T_Assign[תאריך],"&lt;="&amp;($B$3+3*7+6))),0)</f>
        <v/>
      </c>
      <c r="I49" s="119" t="str">
        <f aca="false">IFERROR(IF(A49="","",SUMPRODUCT((E49&gt;=הגדרות!$C$14)*1+(F49&gt;=הגדרות!$C$14)*1+(G49&gt;=הגדרות!$C$14)*1+(H49&gt;=הגדרות!$C$14)*1)),0)</f>
        <v/>
      </c>
      <c r="J49" s="52" t="str">
        <f aca="false">IFERROR(IF(A49="","",IF(I49&gt;0,"⚡ "&amp;I49&amp;" אירועי עומס","✓ תקין")),"")</f>
        <v/>
      </c>
    </row>
    <row r="50" customFormat="false" ht="15" hidden="false" customHeight="true" outlineLevel="0" collapsed="false">
      <c r="A50" s="114" t="str">
        <f aca="false">IFERROR(IF(נתוני_בסיס!$Y$47="","",נתוני_בסיס!$Y$47),"")</f>
        <v/>
      </c>
      <c r="B50" s="34" t="str">
        <f aca="false">IFERROR(IF(A50="","",IFERROR(INDEX(T_Employees[מחלקה],MATCH(A50,T_Employees[שם],0)),INDEX(T_Consultants[מחלקה],MATCH(A50,T_Consultants[שם יועץ],0)))),"")</f>
        <v/>
      </c>
      <c r="C50" s="113" t="str">
        <f aca="false">IFERROR(IF(A50="","",IF(COUNTIF(T_Consultants[שם יועץ],A50)&gt;0,"יועץ","עובד")),"")</f>
        <v/>
      </c>
      <c r="D50" s="124" t="str">
        <f aca="false">IFERROR(IF(A50="","",COUNTIFS(T_Assign[שם],A50,T_Assign[תאריך],"&gt;="&amp;$B$3,T_Assign[תאריך],"&lt;="&amp;$E$3)),0)</f>
        <v/>
      </c>
      <c r="E50" s="34" t="str">
        <f aca="false">IFERROR(IF(A50="","",COUNTIFS(T_Assign[שם],A50,T_Assign[תאריך],"&gt;="&amp;($B$3+0*7),T_Assign[תאריך],"&lt;="&amp;($B$3+0*7+6))),0)</f>
        <v/>
      </c>
      <c r="F50" s="34" t="str">
        <f aca="false">IFERROR(IF(A50="","",COUNTIFS(T_Assign[שם],A50,T_Assign[תאריך],"&gt;="&amp;($B$3+1*7),T_Assign[תאריך],"&lt;="&amp;($B$3+1*7+6))),0)</f>
        <v/>
      </c>
      <c r="G50" s="34" t="str">
        <f aca="false">IFERROR(IF(A50="","",COUNTIFS(T_Assign[שם],A50,T_Assign[תאריך],"&gt;="&amp;($B$3+2*7),T_Assign[תאריך],"&lt;="&amp;($B$3+2*7+6))),0)</f>
        <v/>
      </c>
      <c r="H50" s="34" t="str">
        <f aca="false">IFERROR(IF(A50="","",COUNTIFS(T_Assign[שם],A50,T_Assign[תאריך],"&gt;="&amp;($B$3+3*7),T_Assign[תאריך],"&lt;="&amp;($B$3+3*7+6))),0)</f>
        <v/>
      </c>
      <c r="I50" s="114" t="str">
        <f aca="false">IFERROR(IF(A50="","",SUMPRODUCT((E50&gt;=הגדרות!$C$14)*1+(F50&gt;=הגדרות!$C$14)*1+(G50&gt;=הגדרות!$C$14)*1+(H50&gt;=הגדרות!$C$14)*1)),0)</f>
        <v/>
      </c>
      <c r="J50" s="49" t="str">
        <f aca="false">IFERROR(IF(A50="","",IF(I50&gt;0,"⚡ "&amp;I50&amp;" אירועי עומס","✓ תקין")),"")</f>
        <v/>
      </c>
    </row>
    <row r="51" customFormat="false" ht="15" hidden="false" customHeight="true" outlineLevel="0" collapsed="false">
      <c r="A51" s="119" t="str">
        <f aca="false">IFERROR(IF(נתוני_בסיס!$Y$48="","",נתוני_בסיס!$Y$48),"")</f>
        <v/>
      </c>
      <c r="B51" s="118" t="str">
        <f aca="false">IFERROR(IF(A51="","",IFERROR(INDEX(T_Employees[מחלקה],MATCH(A51,T_Employees[שם],0)),INDEX(T_Consultants[מחלקה],MATCH(A51,T_Consultants[שם יועץ],0)))),"")</f>
        <v/>
      </c>
      <c r="C51" s="117" t="str">
        <f aca="false">IFERROR(IF(A51="","",IF(COUNTIF(T_Consultants[שם יועץ],A51)&gt;0,"יועץ","עובד")),"")</f>
        <v/>
      </c>
      <c r="D51" s="125" t="str">
        <f aca="false">IFERROR(IF(A51="","",COUNTIFS(T_Assign[שם],A51,T_Assign[תאריך],"&gt;="&amp;$B$3,T_Assign[תאריך],"&lt;="&amp;$E$3)),0)</f>
        <v/>
      </c>
      <c r="E51" s="118" t="str">
        <f aca="false">IFERROR(IF(A51="","",COUNTIFS(T_Assign[שם],A51,T_Assign[תאריך],"&gt;="&amp;($B$3+0*7),T_Assign[תאריך],"&lt;="&amp;($B$3+0*7+6))),0)</f>
        <v/>
      </c>
      <c r="F51" s="118" t="str">
        <f aca="false">IFERROR(IF(A51="","",COUNTIFS(T_Assign[שם],A51,T_Assign[תאריך],"&gt;="&amp;($B$3+1*7),T_Assign[תאריך],"&lt;="&amp;($B$3+1*7+6))),0)</f>
        <v/>
      </c>
      <c r="G51" s="118" t="str">
        <f aca="false">IFERROR(IF(A51="","",COUNTIFS(T_Assign[שם],A51,T_Assign[תאריך],"&gt;="&amp;($B$3+2*7),T_Assign[תאריך],"&lt;="&amp;($B$3+2*7+6))),0)</f>
        <v/>
      </c>
      <c r="H51" s="118" t="str">
        <f aca="false">IFERROR(IF(A51="","",COUNTIFS(T_Assign[שם],A51,T_Assign[תאריך],"&gt;="&amp;($B$3+3*7),T_Assign[תאריך],"&lt;="&amp;($B$3+3*7+6))),0)</f>
        <v/>
      </c>
      <c r="I51" s="119" t="str">
        <f aca="false">IFERROR(IF(A51="","",SUMPRODUCT((E51&gt;=הגדרות!$C$14)*1+(F51&gt;=הגדרות!$C$14)*1+(G51&gt;=הגדרות!$C$14)*1+(H51&gt;=הגדרות!$C$14)*1)),0)</f>
        <v/>
      </c>
      <c r="J51" s="52" t="str">
        <f aca="false">IFERROR(IF(A51="","",IF(I51&gt;0,"⚡ "&amp;I51&amp;" אירועי עומס","✓ תקין")),"")</f>
        <v/>
      </c>
    </row>
    <row r="52" customFormat="false" ht="15" hidden="false" customHeight="true" outlineLevel="0" collapsed="false">
      <c r="A52" s="114" t="str">
        <f aca="false">IFERROR(IF(נתוני_בסיס!$Y$49="","",נתוני_בסיס!$Y$49),"")</f>
        <v/>
      </c>
      <c r="B52" s="34" t="str">
        <f aca="false">IFERROR(IF(A52="","",IFERROR(INDEX(T_Employees[מחלקה],MATCH(A52,T_Employees[שם],0)),INDEX(T_Consultants[מחלקה],MATCH(A52,T_Consultants[שם יועץ],0)))),"")</f>
        <v/>
      </c>
      <c r="C52" s="113" t="str">
        <f aca="false">IFERROR(IF(A52="","",IF(COUNTIF(T_Consultants[שם יועץ],A52)&gt;0,"יועץ","עובד")),"")</f>
        <v/>
      </c>
      <c r="D52" s="124" t="str">
        <f aca="false">IFERROR(IF(A52="","",COUNTIFS(T_Assign[שם],A52,T_Assign[תאריך],"&gt;="&amp;$B$3,T_Assign[תאריך],"&lt;="&amp;$E$3)),0)</f>
        <v/>
      </c>
      <c r="E52" s="34" t="str">
        <f aca="false">IFERROR(IF(A52="","",COUNTIFS(T_Assign[שם],A52,T_Assign[תאריך],"&gt;="&amp;($B$3+0*7),T_Assign[תאריך],"&lt;="&amp;($B$3+0*7+6))),0)</f>
        <v/>
      </c>
      <c r="F52" s="34" t="str">
        <f aca="false">IFERROR(IF(A52="","",COUNTIFS(T_Assign[שם],A52,T_Assign[תאריך],"&gt;="&amp;($B$3+1*7),T_Assign[תאריך],"&lt;="&amp;($B$3+1*7+6))),0)</f>
        <v/>
      </c>
      <c r="G52" s="34" t="str">
        <f aca="false">IFERROR(IF(A52="","",COUNTIFS(T_Assign[שם],A52,T_Assign[תאריך],"&gt;="&amp;($B$3+2*7),T_Assign[תאריך],"&lt;="&amp;($B$3+2*7+6))),0)</f>
        <v/>
      </c>
      <c r="H52" s="34" t="str">
        <f aca="false">IFERROR(IF(A52="","",COUNTIFS(T_Assign[שם],A52,T_Assign[תאריך],"&gt;="&amp;($B$3+3*7),T_Assign[תאריך],"&lt;="&amp;($B$3+3*7+6))),0)</f>
        <v/>
      </c>
      <c r="I52" s="114" t="str">
        <f aca="false">IFERROR(IF(A52="","",SUMPRODUCT((E52&gt;=הגדרות!$C$14)*1+(F52&gt;=הגדרות!$C$14)*1+(G52&gt;=הגדרות!$C$14)*1+(H52&gt;=הגדרות!$C$14)*1)),0)</f>
        <v/>
      </c>
      <c r="J52" s="49" t="str">
        <f aca="false">IFERROR(IF(A52="","",IF(I52&gt;0,"⚡ "&amp;I52&amp;" אירועי עומס","✓ תקין")),"")</f>
        <v/>
      </c>
    </row>
    <row r="53" customFormat="false" ht="15" hidden="false" customHeight="true" outlineLevel="0" collapsed="false">
      <c r="A53" s="119" t="str">
        <f aca="false">IFERROR(IF(נתוני_בסיס!$Y$50="","",נתוני_בסיס!$Y$50),"")</f>
        <v/>
      </c>
      <c r="B53" s="118" t="str">
        <f aca="false">IFERROR(IF(A53="","",IFERROR(INDEX(T_Employees[מחלקה],MATCH(A53,T_Employees[שם],0)),INDEX(T_Consultants[מחלקה],MATCH(A53,T_Consultants[שם יועץ],0)))),"")</f>
        <v/>
      </c>
      <c r="C53" s="117" t="str">
        <f aca="false">IFERROR(IF(A53="","",IF(COUNTIF(T_Consultants[שם יועץ],A53)&gt;0,"יועץ","עובד")),"")</f>
        <v/>
      </c>
      <c r="D53" s="125" t="str">
        <f aca="false">IFERROR(IF(A53="","",COUNTIFS(T_Assign[שם],A53,T_Assign[תאריך],"&gt;="&amp;$B$3,T_Assign[תאריך],"&lt;="&amp;$E$3)),0)</f>
        <v/>
      </c>
      <c r="E53" s="118" t="str">
        <f aca="false">IFERROR(IF(A53="","",COUNTIFS(T_Assign[שם],A53,T_Assign[תאריך],"&gt;="&amp;($B$3+0*7),T_Assign[תאריך],"&lt;="&amp;($B$3+0*7+6))),0)</f>
        <v/>
      </c>
      <c r="F53" s="118" t="str">
        <f aca="false">IFERROR(IF(A53="","",COUNTIFS(T_Assign[שם],A53,T_Assign[תאריך],"&gt;="&amp;($B$3+1*7),T_Assign[תאריך],"&lt;="&amp;($B$3+1*7+6))),0)</f>
        <v/>
      </c>
      <c r="G53" s="118" t="str">
        <f aca="false">IFERROR(IF(A53="","",COUNTIFS(T_Assign[שם],A53,T_Assign[תאריך],"&gt;="&amp;($B$3+2*7),T_Assign[תאריך],"&lt;="&amp;($B$3+2*7+6))),0)</f>
        <v/>
      </c>
      <c r="H53" s="118" t="str">
        <f aca="false">IFERROR(IF(A53="","",COUNTIFS(T_Assign[שם],A53,T_Assign[תאריך],"&gt;="&amp;($B$3+3*7),T_Assign[תאריך],"&lt;="&amp;($B$3+3*7+6))),0)</f>
        <v/>
      </c>
      <c r="I53" s="119" t="str">
        <f aca="false">IFERROR(IF(A53="","",SUMPRODUCT((E53&gt;=הגדרות!$C$14)*1+(F53&gt;=הגדרות!$C$14)*1+(G53&gt;=הגדרות!$C$14)*1+(H53&gt;=הגדרות!$C$14)*1)),0)</f>
        <v/>
      </c>
      <c r="J53" s="52" t="str">
        <f aca="false">IFERROR(IF(A53="","",IF(I53&gt;0,"⚡ "&amp;I53&amp;" אירועי עומס","✓ תקין")),"")</f>
        <v/>
      </c>
    </row>
    <row r="54" customFormat="false" ht="15" hidden="false" customHeight="true" outlineLevel="0" collapsed="false">
      <c r="A54" s="114" t="str">
        <f aca="false">IFERROR(IF(נתוני_בסיס!$Y$51="","",נתוני_בסיס!$Y$51),"")</f>
        <v/>
      </c>
      <c r="B54" s="34" t="str">
        <f aca="false">IFERROR(IF(A54="","",IFERROR(INDEX(T_Employees[מחלקה],MATCH(A54,T_Employees[שם],0)),INDEX(T_Consultants[מחלקה],MATCH(A54,T_Consultants[שם יועץ],0)))),"")</f>
        <v/>
      </c>
      <c r="C54" s="113" t="str">
        <f aca="false">IFERROR(IF(A54="","",IF(COUNTIF(T_Consultants[שם יועץ],A54)&gt;0,"יועץ","עובד")),"")</f>
        <v/>
      </c>
      <c r="D54" s="124" t="str">
        <f aca="false">IFERROR(IF(A54="","",COUNTIFS(T_Assign[שם],A54,T_Assign[תאריך],"&gt;="&amp;$B$3,T_Assign[תאריך],"&lt;="&amp;$E$3)),0)</f>
        <v/>
      </c>
      <c r="E54" s="34" t="str">
        <f aca="false">IFERROR(IF(A54="","",COUNTIFS(T_Assign[שם],A54,T_Assign[תאריך],"&gt;="&amp;($B$3+0*7),T_Assign[תאריך],"&lt;="&amp;($B$3+0*7+6))),0)</f>
        <v/>
      </c>
      <c r="F54" s="34" t="str">
        <f aca="false">IFERROR(IF(A54="","",COUNTIFS(T_Assign[שם],A54,T_Assign[תאריך],"&gt;="&amp;($B$3+1*7),T_Assign[תאריך],"&lt;="&amp;($B$3+1*7+6))),0)</f>
        <v/>
      </c>
      <c r="G54" s="34" t="str">
        <f aca="false">IFERROR(IF(A54="","",COUNTIFS(T_Assign[שם],A54,T_Assign[תאריך],"&gt;="&amp;($B$3+2*7),T_Assign[תאריך],"&lt;="&amp;($B$3+2*7+6))),0)</f>
        <v/>
      </c>
      <c r="H54" s="34" t="str">
        <f aca="false">IFERROR(IF(A54="","",COUNTIFS(T_Assign[שם],A54,T_Assign[תאריך],"&gt;="&amp;($B$3+3*7),T_Assign[תאריך],"&lt;="&amp;($B$3+3*7+6))),0)</f>
        <v/>
      </c>
      <c r="I54" s="114" t="str">
        <f aca="false">IFERROR(IF(A54="","",SUMPRODUCT((E54&gt;=הגדרות!$C$14)*1+(F54&gt;=הגדרות!$C$14)*1+(G54&gt;=הגדרות!$C$14)*1+(H54&gt;=הגדרות!$C$14)*1)),0)</f>
        <v/>
      </c>
      <c r="J54" s="49" t="str">
        <f aca="false">IFERROR(IF(A54="","",IF(I54&gt;0,"⚡ "&amp;I54&amp;" אירועי עומס","✓ תקין")),"")</f>
        <v/>
      </c>
    </row>
    <row r="55" customFormat="false" ht="15" hidden="false" customHeight="true" outlineLevel="0" collapsed="false">
      <c r="A55" s="119" t="str">
        <f aca="false">IFERROR(IF(נתוני_בסיס!$Y$52="","",נתוני_בסיס!$Y$52),"")</f>
        <v/>
      </c>
      <c r="B55" s="118" t="str">
        <f aca="false">IFERROR(IF(A55="","",IFERROR(INDEX(T_Employees[מחלקה],MATCH(A55,T_Employees[שם],0)),INDEX(T_Consultants[מחלקה],MATCH(A55,T_Consultants[שם יועץ],0)))),"")</f>
        <v/>
      </c>
      <c r="C55" s="117" t="str">
        <f aca="false">IFERROR(IF(A55="","",IF(COUNTIF(T_Consultants[שם יועץ],A55)&gt;0,"יועץ","עובד")),"")</f>
        <v/>
      </c>
      <c r="D55" s="125" t="str">
        <f aca="false">IFERROR(IF(A55="","",COUNTIFS(T_Assign[שם],A55,T_Assign[תאריך],"&gt;="&amp;$B$3,T_Assign[תאריך],"&lt;="&amp;$E$3)),0)</f>
        <v/>
      </c>
      <c r="E55" s="118" t="str">
        <f aca="false">IFERROR(IF(A55="","",COUNTIFS(T_Assign[שם],A55,T_Assign[תאריך],"&gt;="&amp;($B$3+0*7),T_Assign[תאריך],"&lt;="&amp;($B$3+0*7+6))),0)</f>
        <v/>
      </c>
      <c r="F55" s="118" t="str">
        <f aca="false">IFERROR(IF(A55="","",COUNTIFS(T_Assign[שם],A55,T_Assign[תאריך],"&gt;="&amp;($B$3+1*7),T_Assign[תאריך],"&lt;="&amp;($B$3+1*7+6))),0)</f>
        <v/>
      </c>
      <c r="G55" s="118" t="str">
        <f aca="false">IFERROR(IF(A55="","",COUNTIFS(T_Assign[שם],A55,T_Assign[תאריך],"&gt;="&amp;($B$3+2*7),T_Assign[תאריך],"&lt;="&amp;($B$3+2*7+6))),0)</f>
        <v/>
      </c>
      <c r="H55" s="118" t="str">
        <f aca="false">IFERROR(IF(A55="","",COUNTIFS(T_Assign[שם],A55,T_Assign[תאריך],"&gt;="&amp;($B$3+3*7),T_Assign[תאריך],"&lt;="&amp;($B$3+3*7+6))),0)</f>
        <v/>
      </c>
      <c r="I55" s="119" t="str">
        <f aca="false">IFERROR(IF(A55="","",SUMPRODUCT((E55&gt;=הגדרות!$C$14)*1+(F55&gt;=הגדרות!$C$14)*1+(G55&gt;=הגדרות!$C$14)*1+(H55&gt;=הגדרות!$C$14)*1)),0)</f>
        <v/>
      </c>
      <c r="J55" s="52" t="str">
        <f aca="false">IFERROR(IF(A55="","",IF(I55&gt;0,"⚡ "&amp;I55&amp;" אירועי עומס","✓ תקין")),"")</f>
        <v/>
      </c>
    </row>
  </sheetData>
  <mergeCells count="1">
    <mergeCell ref="A1:J1"/>
  </mergeCells>
  <conditionalFormatting sqref="E6">
    <cfRule type="expression" priority="2" aboveAverage="0" equalAverage="0" bottom="0" percent="0" rank="0" text="" dxfId="14">
      <formula>E6&gt;=הגדרות!$C$14</formula>
    </cfRule>
  </conditionalFormatting>
  <conditionalFormatting sqref="F6">
    <cfRule type="expression" priority="3" aboveAverage="0" equalAverage="0" bottom="0" percent="0" rank="0" text="" dxfId="14">
      <formula>F6&gt;=הגדרות!$C$14</formula>
    </cfRule>
  </conditionalFormatting>
  <conditionalFormatting sqref="G6">
    <cfRule type="expression" priority="4" aboveAverage="0" equalAverage="0" bottom="0" percent="0" rank="0" text="" dxfId="14">
      <formula>G6&gt;=הגדרות!$C$14</formula>
    </cfRule>
  </conditionalFormatting>
  <conditionalFormatting sqref="H6">
    <cfRule type="expression" priority="5" aboveAverage="0" equalAverage="0" bottom="0" percent="0" rank="0" text="" dxfId="14">
      <formula>H6&gt;=הגדרות!$C$14</formula>
    </cfRule>
  </conditionalFormatting>
  <conditionalFormatting sqref="A6:J6">
    <cfRule type="expression" priority="6" aboveAverage="0" equalAverage="0" bottom="0" percent="0" rank="0" text="" dxfId="14">
      <formula>$I6&gt;0</formula>
    </cfRule>
  </conditionalFormatting>
  <conditionalFormatting sqref="E7">
    <cfRule type="expression" priority="7" aboveAverage="0" equalAverage="0" bottom="0" percent="0" rank="0" text="" dxfId="14">
      <formula>E7&gt;=הגדרות!$C$14</formula>
    </cfRule>
  </conditionalFormatting>
  <conditionalFormatting sqref="F7">
    <cfRule type="expression" priority="8" aboveAverage="0" equalAverage="0" bottom="0" percent="0" rank="0" text="" dxfId="14">
      <formula>F7&gt;=הגדרות!$C$14</formula>
    </cfRule>
  </conditionalFormatting>
  <conditionalFormatting sqref="G7">
    <cfRule type="expression" priority="9" aboveAverage="0" equalAverage="0" bottom="0" percent="0" rank="0" text="" dxfId="14">
      <formula>G7&gt;=הגדרות!$C$14</formula>
    </cfRule>
  </conditionalFormatting>
  <conditionalFormatting sqref="H7">
    <cfRule type="expression" priority="10" aboveAverage="0" equalAverage="0" bottom="0" percent="0" rank="0" text="" dxfId="14">
      <formula>H7&gt;=הגדרות!$C$14</formula>
    </cfRule>
  </conditionalFormatting>
  <conditionalFormatting sqref="A7:J7">
    <cfRule type="expression" priority="11" aboveAverage="0" equalAverage="0" bottom="0" percent="0" rank="0" text="" dxfId="14">
      <formula>$I7&gt;0</formula>
    </cfRule>
  </conditionalFormatting>
  <conditionalFormatting sqref="E8">
    <cfRule type="expression" priority="12" aboveAverage="0" equalAverage="0" bottom="0" percent="0" rank="0" text="" dxfId="14">
      <formula>E8&gt;=הגדרות!$C$14</formula>
    </cfRule>
  </conditionalFormatting>
  <conditionalFormatting sqref="F8">
    <cfRule type="expression" priority="13" aboveAverage="0" equalAverage="0" bottom="0" percent="0" rank="0" text="" dxfId="14">
      <formula>F8&gt;=הגדרות!$C$14</formula>
    </cfRule>
  </conditionalFormatting>
  <conditionalFormatting sqref="G8">
    <cfRule type="expression" priority="14" aboveAverage="0" equalAverage="0" bottom="0" percent="0" rank="0" text="" dxfId="14">
      <formula>G8&gt;=הגדרות!$C$14</formula>
    </cfRule>
  </conditionalFormatting>
  <conditionalFormatting sqref="H8">
    <cfRule type="expression" priority="15" aboveAverage="0" equalAverage="0" bottom="0" percent="0" rank="0" text="" dxfId="14">
      <formula>H8&gt;=הגדרות!$C$14</formula>
    </cfRule>
  </conditionalFormatting>
  <conditionalFormatting sqref="A8:J8">
    <cfRule type="expression" priority="16" aboveAverage="0" equalAverage="0" bottom="0" percent="0" rank="0" text="" dxfId="14">
      <formula>$I8&gt;0</formula>
    </cfRule>
  </conditionalFormatting>
  <conditionalFormatting sqref="E9">
    <cfRule type="expression" priority="17" aboveAverage="0" equalAverage="0" bottom="0" percent="0" rank="0" text="" dxfId="14">
      <formula>E9&gt;=הגדרות!$C$14</formula>
    </cfRule>
  </conditionalFormatting>
  <conditionalFormatting sqref="F9">
    <cfRule type="expression" priority="18" aboveAverage="0" equalAverage="0" bottom="0" percent="0" rank="0" text="" dxfId="14">
      <formula>F9&gt;=הגדרות!$C$14</formula>
    </cfRule>
  </conditionalFormatting>
  <conditionalFormatting sqref="G9">
    <cfRule type="expression" priority="19" aboveAverage="0" equalAverage="0" bottom="0" percent="0" rank="0" text="" dxfId="14">
      <formula>G9&gt;=הגדרות!$C$14</formula>
    </cfRule>
  </conditionalFormatting>
  <conditionalFormatting sqref="H9">
    <cfRule type="expression" priority="20" aboveAverage="0" equalAverage="0" bottom="0" percent="0" rank="0" text="" dxfId="14">
      <formula>H9&gt;=הגדרות!$C$14</formula>
    </cfRule>
  </conditionalFormatting>
  <conditionalFormatting sqref="A9:J9">
    <cfRule type="expression" priority="21" aboveAverage="0" equalAverage="0" bottom="0" percent="0" rank="0" text="" dxfId="14">
      <formula>$I9&gt;0</formula>
    </cfRule>
  </conditionalFormatting>
  <conditionalFormatting sqref="E10">
    <cfRule type="expression" priority="22" aboveAverage="0" equalAverage="0" bottom="0" percent="0" rank="0" text="" dxfId="14">
      <formula>E10&gt;=הגדרות!$C$14</formula>
    </cfRule>
  </conditionalFormatting>
  <conditionalFormatting sqref="F10">
    <cfRule type="expression" priority="23" aboveAverage="0" equalAverage="0" bottom="0" percent="0" rank="0" text="" dxfId="14">
      <formula>F10&gt;=הגדרות!$C$14</formula>
    </cfRule>
  </conditionalFormatting>
  <conditionalFormatting sqref="G10">
    <cfRule type="expression" priority="24" aboveAverage="0" equalAverage="0" bottom="0" percent="0" rank="0" text="" dxfId="14">
      <formula>G10&gt;=הגדרות!$C$14</formula>
    </cfRule>
  </conditionalFormatting>
  <conditionalFormatting sqref="H10">
    <cfRule type="expression" priority="25" aboveAverage="0" equalAverage="0" bottom="0" percent="0" rank="0" text="" dxfId="14">
      <formula>H10&gt;=הגדרות!$C$14</formula>
    </cfRule>
  </conditionalFormatting>
  <conditionalFormatting sqref="A10:J10">
    <cfRule type="expression" priority="26" aboveAverage="0" equalAverage="0" bottom="0" percent="0" rank="0" text="" dxfId="14">
      <formula>$I10&gt;0</formula>
    </cfRule>
  </conditionalFormatting>
  <conditionalFormatting sqref="E11">
    <cfRule type="expression" priority="27" aboveAverage="0" equalAverage="0" bottom="0" percent="0" rank="0" text="" dxfId="14">
      <formula>E11&gt;=הגדרות!$C$14</formula>
    </cfRule>
  </conditionalFormatting>
  <conditionalFormatting sqref="F11">
    <cfRule type="expression" priority="28" aboveAverage="0" equalAverage="0" bottom="0" percent="0" rank="0" text="" dxfId="14">
      <formula>F11&gt;=הגדרות!$C$14</formula>
    </cfRule>
  </conditionalFormatting>
  <conditionalFormatting sqref="G11">
    <cfRule type="expression" priority="29" aboveAverage="0" equalAverage="0" bottom="0" percent="0" rank="0" text="" dxfId="14">
      <formula>G11&gt;=הגדרות!$C$14</formula>
    </cfRule>
  </conditionalFormatting>
  <conditionalFormatting sqref="H11">
    <cfRule type="expression" priority="30" aboveAverage="0" equalAverage="0" bottom="0" percent="0" rank="0" text="" dxfId="14">
      <formula>H11&gt;=הגדרות!$C$14</formula>
    </cfRule>
  </conditionalFormatting>
  <conditionalFormatting sqref="A11:J11">
    <cfRule type="expression" priority="31" aboveAverage="0" equalAverage="0" bottom="0" percent="0" rank="0" text="" dxfId="14">
      <formula>$I11&gt;0</formula>
    </cfRule>
  </conditionalFormatting>
  <conditionalFormatting sqref="E12">
    <cfRule type="expression" priority="32" aboveAverage="0" equalAverage="0" bottom="0" percent="0" rank="0" text="" dxfId="14">
      <formula>E12&gt;=הגדרות!$C$14</formula>
    </cfRule>
  </conditionalFormatting>
  <conditionalFormatting sqref="F12">
    <cfRule type="expression" priority="33" aboveAverage="0" equalAverage="0" bottom="0" percent="0" rank="0" text="" dxfId="14">
      <formula>F12&gt;=הגדרות!$C$14</formula>
    </cfRule>
  </conditionalFormatting>
  <conditionalFormatting sqref="G12">
    <cfRule type="expression" priority="34" aboveAverage="0" equalAverage="0" bottom="0" percent="0" rank="0" text="" dxfId="14">
      <formula>G12&gt;=הגדרות!$C$14</formula>
    </cfRule>
  </conditionalFormatting>
  <conditionalFormatting sqref="H12">
    <cfRule type="expression" priority="35" aboveAverage="0" equalAverage="0" bottom="0" percent="0" rank="0" text="" dxfId="14">
      <formula>H12&gt;=הגדרות!$C$14</formula>
    </cfRule>
  </conditionalFormatting>
  <conditionalFormatting sqref="A12:J12">
    <cfRule type="expression" priority="36" aboveAverage="0" equalAverage="0" bottom="0" percent="0" rank="0" text="" dxfId="14">
      <formula>$I12&gt;0</formula>
    </cfRule>
  </conditionalFormatting>
  <conditionalFormatting sqref="E13">
    <cfRule type="expression" priority="37" aboveAverage="0" equalAverage="0" bottom="0" percent="0" rank="0" text="" dxfId="14">
      <formula>E13&gt;=הגדרות!$C$14</formula>
    </cfRule>
  </conditionalFormatting>
  <conditionalFormatting sqref="F13">
    <cfRule type="expression" priority="38" aboveAverage="0" equalAverage="0" bottom="0" percent="0" rank="0" text="" dxfId="14">
      <formula>F13&gt;=הגדרות!$C$14</formula>
    </cfRule>
  </conditionalFormatting>
  <conditionalFormatting sqref="G13">
    <cfRule type="expression" priority="39" aboveAverage="0" equalAverage="0" bottom="0" percent="0" rank="0" text="" dxfId="14">
      <formula>G13&gt;=הגדרות!$C$14</formula>
    </cfRule>
  </conditionalFormatting>
  <conditionalFormatting sqref="H13">
    <cfRule type="expression" priority="40" aboveAverage="0" equalAverage="0" bottom="0" percent="0" rank="0" text="" dxfId="14">
      <formula>H13&gt;=הגדרות!$C$14</formula>
    </cfRule>
  </conditionalFormatting>
  <conditionalFormatting sqref="A13:J13">
    <cfRule type="expression" priority="41" aboveAverage="0" equalAverage="0" bottom="0" percent="0" rank="0" text="" dxfId="14">
      <formula>$I13&gt;0</formula>
    </cfRule>
  </conditionalFormatting>
  <conditionalFormatting sqref="E14">
    <cfRule type="expression" priority="42" aboveAverage="0" equalAverage="0" bottom="0" percent="0" rank="0" text="" dxfId="14">
      <formula>E14&gt;=הגדרות!$C$14</formula>
    </cfRule>
  </conditionalFormatting>
  <conditionalFormatting sqref="F14">
    <cfRule type="expression" priority="43" aboveAverage="0" equalAverage="0" bottom="0" percent="0" rank="0" text="" dxfId="14">
      <formula>F14&gt;=הגדרות!$C$14</formula>
    </cfRule>
  </conditionalFormatting>
  <conditionalFormatting sqref="G14">
    <cfRule type="expression" priority="44" aboveAverage="0" equalAverage="0" bottom="0" percent="0" rank="0" text="" dxfId="14">
      <formula>G14&gt;=הגדרות!$C$14</formula>
    </cfRule>
  </conditionalFormatting>
  <conditionalFormatting sqref="H14">
    <cfRule type="expression" priority="45" aboveAverage="0" equalAverage="0" bottom="0" percent="0" rank="0" text="" dxfId="14">
      <formula>H14&gt;=הגדרות!$C$14</formula>
    </cfRule>
  </conditionalFormatting>
  <conditionalFormatting sqref="A14:J14">
    <cfRule type="expression" priority="46" aboveAverage="0" equalAverage="0" bottom="0" percent="0" rank="0" text="" dxfId="14">
      <formula>$I14&gt;0</formula>
    </cfRule>
  </conditionalFormatting>
  <conditionalFormatting sqref="E15">
    <cfRule type="expression" priority="47" aboveAverage="0" equalAverage="0" bottom="0" percent="0" rank="0" text="" dxfId="14">
      <formula>E15&gt;=הגדרות!$C$14</formula>
    </cfRule>
  </conditionalFormatting>
  <conditionalFormatting sqref="F15">
    <cfRule type="expression" priority="48" aboveAverage="0" equalAverage="0" bottom="0" percent="0" rank="0" text="" dxfId="14">
      <formula>F15&gt;=הגדרות!$C$14</formula>
    </cfRule>
  </conditionalFormatting>
  <conditionalFormatting sqref="G15">
    <cfRule type="expression" priority="49" aboveAverage="0" equalAverage="0" bottom="0" percent="0" rank="0" text="" dxfId="14">
      <formula>G15&gt;=הגדרות!$C$14</formula>
    </cfRule>
  </conditionalFormatting>
  <conditionalFormatting sqref="H15">
    <cfRule type="expression" priority="50" aboveAverage="0" equalAverage="0" bottom="0" percent="0" rank="0" text="" dxfId="14">
      <formula>H15&gt;=הגדרות!$C$14</formula>
    </cfRule>
  </conditionalFormatting>
  <conditionalFormatting sqref="A15:J15">
    <cfRule type="expression" priority="51" aboveAverage="0" equalAverage="0" bottom="0" percent="0" rank="0" text="" dxfId="14">
      <formula>$I15&gt;0</formula>
    </cfRule>
  </conditionalFormatting>
  <conditionalFormatting sqref="E16">
    <cfRule type="expression" priority="52" aboveAverage="0" equalAverage="0" bottom="0" percent="0" rank="0" text="" dxfId="14">
      <formula>E16&gt;=הגדרות!$C$14</formula>
    </cfRule>
  </conditionalFormatting>
  <conditionalFormatting sqref="F16">
    <cfRule type="expression" priority="53" aboveAverage="0" equalAverage="0" bottom="0" percent="0" rank="0" text="" dxfId="14">
      <formula>F16&gt;=הגדרות!$C$14</formula>
    </cfRule>
  </conditionalFormatting>
  <conditionalFormatting sqref="G16">
    <cfRule type="expression" priority="54" aboveAverage="0" equalAverage="0" bottom="0" percent="0" rank="0" text="" dxfId="14">
      <formula>G16&gt;=הגדרות!$C$14</formula>
    </cfRule>
  </conditionalFormatting>
  <conditionalFormatting sqref="H16">
    <cfRule type="expression" priority="55" aboveAverage="0" equalAverage="0" bottom="0" percent="0" rank="0" text="" dxfId="14">
      <formula>H16&gt;=הגדרות!$C$14</formula>
    </cfRule>
  </conditionalFormatting>
  <conditionalFormatting sqref="A16:J16">
    <cfRule type="expression" priority="56" aboveAverage="0" equalAverage="0" bottom="0" percent="0" rank="0" text="" dxfId="14">
      <formula>$I16&gt;0</formula>
    </cfRule>
  </conditionalFormatting>
  <conditionalFormatting sqref="E17">
    <cfRule type="expression" priority="57" aboveAverage="0" equalAverage="0" bottom="0" percent="0" rank="0" text="" dxfId="14">
      <formula>E17&gt;=הגדרות!$C$14</formula>
    </cfRule>
  </conditionalFormatting>
  <conditionalFormatting sqref="F17">
    <cfRule type="expression" priority="58" aboveAverage="0" equalAverage="0" bottom="0" percent="0" rank="0" text="" dxfId="14">
      <formula>F17&gt;=הגדרות!$C$14</formula>
    </cfRule>
  </conditionalFormatting>
  <conditionalFormatting sqref="G17">
    <cfRule type="expression" priority="59" aboveAverage="0" equalAverage="0" bottom="0" percent="0" rank="0" text="" dxfId="14">
      <formula>G17&gt;=הגדרות!$C$14</formula>
    </cfRule>
  </conditionalFormatting>
  <conditionalFormatting sqref="H17">
    <cfRule type="expression" priority="60" aboveAverage="0" equalAverage="0" bottom="0" percent="0" rank="0" text="" dxfId="14">
      <formula>H17&gt;=הגדרות!$C$14</formula>
    </cfRule>
  </conditionalFormatting>
  <conditionalFormatting sqref="A17:J17">
    <cfRule type="expression" priority="61" aboveAverage="0" equalAverage="0" bottom="0" percent="0" rank="0" text="" dxfId="14">
      <formula>$I17&gt;0</formula>
    </cfRule>
  </conditionalFormatting>
  <conditionalFormatting sqref="E18">
    <cfRule type="expression" priority="62" aboveAverage="0" equalAverage="0" bottom="0" percent="0" rank="0" text="" dxfId="14">
      <formula>E18&gt;=הגדרות!$C$14</formula>
    </cfRule>
  </conditionalFormatting>
  <conditionalFormatting sqref="F18">
    <cfRule type="expression" priority="63" aboveAverage="0" equalAverage="0" bottom="0" percent="0" rank="0" text="" dxfId="14">
      <formula>F18&gt;=הגדרות!$C$14</formula>
    </cfRule>
  </conditionalFormatting>
  <conditionalFormatting sqref="G18">
    <cfRule type="expression" priority="64" aboveAverage="0" equalAverage="0" bottom="0" percent="0" rank="0" text="" dxfId="14">
      <formula>G18&gt;=הגדרות!$C$14</formula>
    </cfRule>
  </conditionalFormatting>
  <conditionalFormatting sqref="H18">
    <cfRule type="expression" priority="65" aboveAverage="0" equalAverage="0" bottom="0" percent="0" rank="0" text="" dxfId="14">
      <formula>H18&gt;=הגדרות!$C$14</formula>
    </cfRule>
  </conditionalFormatting>
  <conditionalFormatting sqref="A18:J18">
    <cfRule type="expression" priority="66" aboveAverage="0" equalAverage="0" bottom="0" percent="0" rank="0" text="" dxfId="14">
      <formula>$I18&gt;0</formula>
    </cfRule>
  </conditionalFormatting>
  <conditionalFormatting sqref="E19">
    <cfRule type="expression" priority="67" aboveAverage="0" equalAverage="0" bottom="0" percent="0" rank="0" text="" dxfId="14">
      <formula>E19&gt;=הגדרות!$C$14</formula>
    </cfRule>
  </conditionalFormatting>
  <conditionalFormatting sqref="F19">
    <cfRule type="expression" priority="68" aboveAverage="0" equalAverage="0" bottom="0" percent="0" rank="0" text="" dxfId="14">
      <formula>F19&gt;=הגדרות!$C$14</formula>
    </cfRule>
  </conditionalFormatting>
  <conditionalFormatting sqref="G19">
    <cfRule type="expression" priority="69" aboveAverage="0" equalAverage="0" bottom="0" percent="0" rank="0" text="" dxfId="14">
      <formula>G19&gt;=הגדרות!$C$14</formula>
    </cfRule>
  </conditionalFormatting>
  <conditionalFormatting sqref="H19">
    <cfRule type="expression" priority="70" aboveAverage="0" equalAverage="0" bottom="0" percent="0" rank="0" text="" dxfId="14">
      <formula>H19&gt;=הגדרות!$C$14</formula>
    </cfRule>
  </conditionalFormatting>
  <conditionalFormatting sqref="A19:J19">
    <cfRule type="expression" priority="71" aboveAverage="0" equalAverage="0" bottom="0" percent="0" rank="0" text="" dxfId="14">
      <formula>$I19&gt;0</formula>
    </cfRule>
  </conditionalFormatting>
  <conditionalFormatting sqref="E20">
    <cfRule type="expression" priority="72" aboveAverage="0" equalAverage="0" bottom="0" percent="0" rank="0" text="" dxfId="14">
      <formula>E20&gt;=הגדרות!$C$14</formula>
    </cfRule>
  </conditionalFormatting>
  <conditionalFormatting sqref="F20">
    <cfRule type="expression" priority="73" aboveAverage="0" equalAverage="0" bottom="0" percent="0" rank="0" text="" dxfId="14">
      <formula>F20&gt;=הגדרות!$C$14</formula>
    </cfRule>
  </conditionalFormatting>
  <conditionalFormatting sqref="G20">
    <cfRule type="expression" priority="74" aboveAverage="0" equalAverage="0" bottom="0" percent="0" rank="0" text="" dxfId="14">
      <formula>G20&gt;=הגדרות!$C$14</formula>
    </cfRule>
  </conditionalFormatting>
  <conditionalFormatting sqref="H20">
    <cfRule type="expression" priority="75" aboveAverage="0" equalAverage="0" bottom="0" percent="0" rank="0" text="" dxfId="14">
      <formula>H20&gt;=הגדרות!$C$14</formula>
    </cfRule>
  </conditionalFormatting>
  <conditionalFormatting sqref="A20:J20">
    <cfRule type="expression" priority="76" aboveAverage="0" equalAverage="0" bottom="0" percent="0" rank="0" text="" dxfId="14">
      <formula>$I20&gt;0</formula>
    </cfRule>
  </conditionalFormatting>
  <conditionalFormatting sqref="E21">
    <cfRule type="expression" priority="77" aboveAverage="0" equalAverage="0" bottom="0" percent="0" rank="0" text="" dxfId="14">
      <formula>E21&gt;=הגדרות!$C$14</formula>
    </cfRule>
  </conditionalFormatting>
  <conditionalFormatting sqref="F21">
    <cfRule type="expression" priority="78" aboveAverage="0" equalAverage="0" bottom="0" percent="0" rank="0" text="" dxfId="14">
      <formula>F21&gt;=הגדרות!$C$14</formula>
    </cfRule>
  </conditionalFormatting>
  <conditionalFormatting sqref="G21">
    <cfRule type="expression" priority="79" aboveAverage="0" equalAverage="0" bottom="0" percent="0" rank="0" text="" dxfId="14">
      <formula>G21&gt;=הגדרות!$C$14</formula>
    </cfRule>
  </conditionalFormatting>
  <conditionalFormatting sqref="H21">
    <cfRule type="expression" priority="80" aboveAverage="0" equalAverage="0" bottom="0" percent="0" rank="0" text="" dxfId="14">
      <formula>H21&gt;=הגדרות!$C$14</formula>
    </cfRule>
  </conditionalFormatting>
  <conditionalFormatting sqref="A21:J21">
    <cfRule type="expression" priority="81" aboveAverage="0" equalAverage="0" bottom="0" percent="0" rank="0" text="" dxfId="14">
      <formula>$I21&gt;0</formula>
    </cfRule>
  </conditionalFormatting>
  <conditionalFormatting sqref="E22">
    <cfRule type="expression" priority="82" aboveAverage="0" equalAverage="0" bottom="0" percent="0" rank="0" text="" dxfId="14">
      <formula>E22&gt;=הגדרות!$C$14</formula>
    </cfRule>
  </conditionalFormatting>
  <conditionalFormatting sqref="F22">
    <cfRule type="expression" priority="83" aboveAverage="0" equalAverage="0" bottom="0" percent="0" rank="0" text="" dxfId="14">
      <formula>F22&gt;=הגדרות!$C$14</formula>
    </cfRule>
  </conditionalFormatting>
  <conditionalFormatting sqref="G22">
    <cfRule type="expression" priority="84" aboveAverage="0" equalAverage="0" bottom="0" percent="0" rank="0" text="" dxfId="14">
      <formula>G22&gt;=הגדרות!$C$14</formula>
    </cfRule>
  </conditionalFormatting>
  <conditionalFormatting sqref="H22">
    <cfRule type="expression" priority="85" aboveAverage="0" equalAverage="0" bottom="0" percent="0" rank="0" text="" dxfId="14">
      <formula>H22&gt;=הגדרות!$C$14</formula>
    </cfRule>
  </conditionalFormatting>
  <conditionalFormatting sqref="A22:J22">
    <cfRule type="expression" priority="86" aboveAverage="0" equalAverage="0" bottom="0" percent="0" rank="0" text="" dxfId="14">
      <formula>$I22&gt;0</formula>
    </cfRule>
  </conditionalFormatting>
  <conditionalFormatting sqref="E23">
    <cfRule type="expression" priority="87" aboveAverage="0" equalAverage="0" bottom="0" percent="0" rank="0" text="" dxfId="14">
      <formula>E23&gt;=הגדרות!$C$14</formula>
    </cfRule>
  </conditionalFormatting>
  <conditionalFormatting sqref="F23">
    <cfRule type="expression" priority="88" aboveAverage="0" equalAverage="0" bottom="0" percent="0" rank="0" text="" dxfId="14">
      <formula>F23&gt;=הגדרות!$C$14</formula>
    </cfRule>
  </conditionalFormatting>
  <conditionalFormatting sqref="G23">
    <cfRule type="expression" priority="89" aboveAverage="0" equalAverage="0" bottom="0" percent="0" rank="0" text="" dxfId="14">
      <formula>G23&gt;=הגדרות!$C$14</formula>
    </cfRule>
  </conditionalFormatting>
  <conditionalFormatting sqref="H23">
    <cfRule type="expression" priority="90" aboveAverage="0" equalAverage="0" bottom="0" percent="0" rank="0" text="" dxfId="14">
      <formula>H23&gt;=הגדרות!$C$14</formula>
    </cfRule>
  </conditionalFormatting>
  <conditionalFormatting sqref="A23:J23">
    <cfRule type="expression" priority="91" aboveAverage="0" equalAverage="0" bottom="0" percent="0" rank="0" text="" dxfId="14">
      <formula>$I23&gt;0</formula>
    </cfRule>
  </conditionalFormatting>
  <conditionalFormatting sqref="E24">
    <cfRule type="expression" priority="92" aboveAverage="0" equalAverage="0" bottom="0" percent="0" rank="0" text="" dxfId="14">
      <formula>E24&gt;=הגדרות!$C$14</formula>
    </cfRule>
  </conditionalFormatting>
  <conditionalFormatting sqref="F24">
    <cfRule type="expression" priority="93" aboveAverage="0" equalAverage="0" bottom="0" percent="0" rank="0" text="" dxfId="14">
      <formula>F24&gt;=הגדרות!$C$14</formula>
    </cfRule>
  </conditionalFormatting>
  <conditionalFormatting sqref="G24">
    <cfRule type="expression" priority="94" aboveAverage="0" equalAverage="0" bottom="0" percent="0" rank="0" text="" dxfId="14">
      <formula>G24&gt;=הגדרות!$C$14</formula>
    </cfRule>
  </conditionalFormatting>
  <conditionalFormatting sqref="H24">
    <cfRule type="expression" priority="95" aboveAverage="0" equalAverage="0" bottom="0" percent="0" rank="0" text="" dxfId="14">
      <formula>H24&gt;=הגדרות!$C$14</formula>
    </cfRule>
  </conditionalFormatting>
  <conditionalFormatting sqref="A24:J24">
    <cfRule type="expression" priority="96" aboveAverage="0" equalAverage="0" bottom="0" percent="0" rank="0" text="" dxfId="14">
      <formula>$I24&gt;0</formula>
    </cfRule>
  </conditionalFormatting>
  <conditionalFormatting sqref="E25">
    <cfRule type="expression" priority="97" aboveAverage="0" equalAverage="0" bottom="0" percent="0" rank="0" text="" dxfId="14">
      <formula>E25&gt;=הגדרות!$C$14</formula>
    </cfRule>
  </conditionalFormatting>
  <conditionalFormatting sqref="F25">
    <cfRule type="expression" priority="98" aboveAverage="0" equalAverage="0" bottom="0" percent="0" rank="0" text="" dxfId="14">
      <formula>F25&gt;=הגדרות!$C$14</formula>
    </cfRule>
  </conditionalFormatting>
  <conditionalFormatting sqref="G25">
    <cfRule type="expression" priority="99" aboveAverage="0" equalAverage="0" bottom="0" percent="0" rank="0" text="" dxfId="14">
      <formula>G25&gt;=הגדרות!$C$14</formula>
    </cfRule>
  </conditionalFormatting>
  <conditionalFormatting sqref="H25">
    <cfRule type="expression" priority="100" aboveAverage="0" equalAverage="0" bottom="0" percent="0" rank="0" text="" dxfId="14">
      <formula>H25&gt;=הגדרות!$C$14</formula>
    </cfRule>
  </conditionalFormatting>
  <conditionalFormatting sqref="A25:J25">
    <cfRule type="expression" priority="101" aboveAverage="0" equalAverage="0" bottom="0" percent="0" rank="0" text="" dxfId="14">
      <formula>$I25&gt;0</formula>
    </cfRule>
  </conditionalFormatting>
  <conditionalFormatting sqref="E26">
    <cfRule type="expression" priority="102" aboveAverage="0" equalAverage="0" bottom="0" percent="0" rank="0" text="" dxfId="14">
      <formula>E26&gt;=הגדרות!$C$14</formula>
    </cfRule>
  </conditionalFormatting>
  <conditionalFormatting sqref="F26">
    <cfRule type="expression" priority="103" aboveAverage="0" equalAverage="0" bottom="0" percent="0" rank="0" text="" dxfId="14">
      <formula>F26&gt;=הגדרות!$C$14</formula>
    </cfRule>
  </conditionalFormatting>
  <conditionalFormatting sqref="G26">
    <cfRule type="expression" priority="104" aboveAverage="0" equalAverage="0" bottom="0" percent="0" rank="0" text="" dxfId="14">
      <formula>G26&gt;=הגדרות!$C$14</formula>
    </cfRule>
  </conditionalFormatting>
  <conditionalFormatting sqref="H26">
    <cfRule type="expression" priority="105" aboveAverage="0" equalAverage="0" bottom="0" percent="0" rank="0" text="" dxfId="14">
      <formula>H26&gt;=הגדרות!$C$14</formula>
    </cfRule>
  </conditionalFormatting>
  <conditionalFormatting sqref="A26:J26">
    <cfRule type="expression" priority="106" aboveAverage="0" equalAverage="0" bottom="0" percent="0" rank="0" text="" dxfId="14">
      <formula>$I26&gt;0</formula>
    </cfRule>
  </conditionalFormatting>
  <conditionalFormatting sqref="E27">
    <cfRule type="expression" priority="107" aboveAverage="0" equalAverage="0" bottom="0" percent="0" rank="0" text="" dxfId="14">
      <formula>E27&gt;=הגדרות!$C$14</formula>
    </cfRule>
  </conditionalFormatting>
  <conditionalFormatting sqref="F27">
    <cfRule type="expression" priority="108" aboveAverage="0" equalAverage="0" bottom="0" percent="0" rank="0" text="" dxfId="14">
      <formula>F27&gt;=הגדרות!$C$14</formula>
    </cfRule>
  </conditionalFormatting>
  <conditionalFormatting sqref="G27">
    <cfRule type="expression" priority="109" aboveAverage="0" equalAverage="0" bottom="0" percent="0" rank="0" text="" dxfId="14">
      <formula>G27&gt;=הגדרות!$C$14</formula>
    </cfRule>
  </conditionalFormatting>
  <conditionalFormatting sqref="H27">
    <cfRule type="expression" priority="110" aboveAverage="0" equalAverage="0" bottom="0" percent="0" rank="0" text="" dxfId="14">
      <formula>H27&gt;=הגדרות!$C$14</formula>
    </cfRule>
  </conditionalFormatting>
  <conditionalFormatting sqref="A27:J27">
    <cfRule type="expression" priority="111" aboveAverage="0" equalAverage="0" bottom="0" percent="0" rank="0" text="" dxfId="14">
      <formula>$I27&gt;0</formula>
    </cfRule>
  </conditionalFormatting>
  <conditionalFormatting sqref="E28">
    <cfRule type="expression" priority="112" aboveAverage="0" equalAverage="0" bottom="0" percent="0" rank="0" text="" dxfId="14">
      <formula>E28&gt;=הגדרות!$C$14</formula>
    </cfRule>
  </conditionalFormatting>
  <conditionalFormatting sqref="F28">
    <cfRule type="expression" priority="113" aboveAverage="0" equalAverage="0" bottom="0" percent="0" rank="0" text="" dxfId="14">
      <formula>F28&gt;=הגדרות!$C$14</formula>
    </cfRule>
  </conditionalFormatting>
  <conditionalFormatting sqref="G28">
    <cfRule type="expression" priority="114" aboveAverage="0" equalAverage="0" bottom="0" percent="0" rank="0" text="" dxfId="14">
      <formula>G28&gt;=הגדרות!$C$14</formula>
    </cfRule>
  </conditionalFormatting>
  <conditionalFormatting sqref="H28">
    <cfRule type="expression" priority="115" aboveAverage="0" equalAverage="0" bottom="0" percent="0" rank="0" text="" dxfId="14">
      <formula>H28&gt;=הגדרות!$C$14</formula>
    </cfRule>
  </conditionalFormatting>
  <conditionalFormatting sqref="A28:J28">
    <cfRule type="expression" priority="116" aboveAverage="0" equalAverage="0" bottom="0" percent="0" rank="0" text="" dxfId="14">
      <formula>$I28&gt;0</formula>
    </cfRule>
  </conditionalFormatting>
  <conditionalFormatting sqref="E29">
    <cfRule type="expression" priority="117" aboveAverage="0" equalAverage="0" bottom="0" percent="0" rank="0" text="" dxfId="14">
      <formula>E29&gt;=הגדרות!$C$14</formula>
    </cfRule>
  </conditionalFormatting>
  <conditionalFormatting sqref="F29">
    <cfRule type="expression" priority="118" aboveAverage="0" equalAverage="0" bottom="0" percent="0" rank="0" text="" dxfId="14">
      <formula>F29&gt;=הגדרות!$C$14</formula>
    </cfRule>
  </conditionalFormatting>
  <conditionalFormatting sqref="G29">
    <cfRule type="expression" priority="119" aboveAverage="0" equalAverage="0" bottom="0" percent="0" rank="0" text="" dxfId="14">
      <formula>G29&gt;=הגדרות!$C$14</formula>
    </cfRule>
  </conditionalFormatting>
  <conditionalFormatting sqref="H29">
    <cfRule type="expression" priority="120" aboveAverage="0" equalAverage="0" bottom="0" percent="0" rank="0" text="" dxfId="14">
      <formula>H29&gt;=הגדרות!$C$14</formula>
    </cfRule>
  </conditionalFormatting>
  <conditionalFormatting sqref="A29:J29">
    <cfRule type="expression" priority="121" aboveAverage="0" equalAverage="0" bottom="0" percent="0" rank="0" text="" dxfId="14">
      <formula>$I29&gt;0</formula>
    </cfRule>
  </conditionalFormatting>
  <conditionalFormatting sqref="E30">
    <cfRule type="expression" priority="122" aboveAverage="0" equalAverage="0" bottom="0" percent="0" rank="0" text="" dxfId="14">
      <formula>E30&gt;=הגדרות!$C$14</formula>
    </cfRule>
  </conditionalFormatting>
  <conditionalFormatting sqref="F30">
    <cfRule type="expression" priority="123" aboveAverage="0" equalAverage="0" bottom="0" percent="0" rank="0" text="" dxfId="14">
      <formula>F30&gt;=הגדרות!$C$14</formula>
    </cfRule>
  </conditionalFormatting>
  <conditionalFormatting sqref="G30">
    <cfRule type="expression" priority="124" aboveAverage="0" equalAverage="0" bottom="0" percent="0" rank="0" text="" dxfId="14">
      <formula>G30&gt;=הגדרות!$C$14</formula>
    </cfRule>
  </conditionalFormatting>
  <conditionalFormatting sqref="H30">
    <cfRule type="expression" priority="125" aboveAverage="0" equalAverage="0" bottom="0" percent="0" rank="0" text="" dxfId="14">
      <formula>H30&gt;=הגדרות!$C$14</formula>
    </cfRule>
  </conditionalFormatting>
  <conditionalFormatting sqref="A30:J30">
    <cfRule type="expression" priority="126" aboveAverage="0" equalAverage="0" bottom="0" percent="0" rank="0" text="" dxfId="14">
      <formula>$I30&gt;0</formula>
    </cfRule>
  </conditionalFormatting>
  <conditionalFormatting sqref="E31">
    <cfRule type="expression" priority="127" aboveAverage="0" equalAverage="0" bottom="0" percent="0" rank="0" text="" dxfId="14">
      <formula>E31&gt;=הגדרות!$C$14</formula>
    </cfRule>
  </conditionalFormatting>
  <conditionalFormatting sqref="F31">
    <cfRule type="expression" priority="128" aboveAverage="0" equalAverage="0" bottom="0" percent="0" rank="0" text="" dxfId="14">
      <formula>F31&gt;=הגדרות!$C$14</formula>
    </cfRule>
  </conditionalFormatting>
  <conditionalFormatting sqref="G31">
    <cfRule type="expression" priority="129" aboveAverage="0" equalAverage="0" bottom="0" percent="0" rank="0" text="" dxfId="14">
      <formula>G31&gt;=הגדרות!$C$14</formula>
    </cfRule>
  </conditionalFormatting>
  <conditionalFormatting sqref="H31">
    <cfRule type="expression" priority="130" aboveAverage="0" equalAverage="0" bottom="0" percent="0" rank="0" text="" dxfId="14">
      <formula>H31&gt;=הגדרות!$C$14</formula>
    </cfRule>
  </conditionalFormatting>
  <conditionalFormatting sqref="A31:J31">
    <cfRule type="expression" priority="131" aboveAverage="0" equalAverage="0" bottom="0" percent="0" rank="0" text="" dxfId="14">
      <formula>$I31&gt;0</formula>
    </cfRule>
  </conditionalFormatting>
  <conditionalFormatting sqref="E32">
    <cfRule type="expression" priority="132" aboveAverage="0" equalAverage="0" bottom="0" percent="0" rank="0" text="" dxfId="14">
      <formula>E32&gt;=הגדרות!$C$14</formula>
    </cfRule>
  </conditionalFormatting>
  <conditionalFormatting sqref="F32">
    <cfRule type="expression" priority="133" aboveAverage="0" equalAverage="0" bottom="0" percent="0" rank="0" text="" dxfId="14">
      <formula>F32&gt;=הגדרות!$C$14</formula>
    </cfRule>
  </conditionalFormatting>
  <conditionalFormatting sqref="G32">
    <cfRule type="expression" priority="134" aboveAverage="0" equalAverage="0" bottom="0" percent="0" rank="0" text="" dxfId="14">
      <formula>G32&gt;=הגדרות!$C$14</formula>
    </cfRule>
  </conditionalFormatting>
  <conditionalFormatting sqref="H32">
    <cfRule type="expression" priority="135" aboveAverage="0" equalAverage="0" bottom="0" percent="0" rank="0" text="" dxfId="14">
      <formula>H32&gt;=הגדרות!$C$14</formula>
    </cfRule>
  </conditionalFormatting>
  <conditionalFormatting sqref="A32:J32">
    <cfRule type="expression" priority="136" aboveAverage="0" equalAverage="0" bottom="0" percent="0" rank="0" text="" dxfId="14">
      <formula>$I32&gt;0</formula>
    </cfRule>
  </conditionalFormatting>
  <conditionalFormatting sqref="E33">
    <cfRule type="expression" priority="137" aboveAverage="0" equalAverage="0" bottom="0" percent="0" rank="0" text="" dxfId="14">
      <formula>E33&gt;=הגדרות!$C$14</formula>
    </cfRule>
  </conditionalFormatting>
  <conditionalFormatting sqref="F33">
    <cfRule type="expression" priority="138" aboveAverage="0" equalAverage="0" bottom="0" percent="0" rank="0" text="" dxfId="14">
      <formula>F33&gt;=הגדרות!$C$14</formula>
    </cfRule>
  </conditionalFormatting>
  <conditionalFormatting sqref="G33">
    <cfRule type="expression" priority="139" aboveAverage="0" equalAverage="0" bottom="0" percent="0" rank="0" text="" dxfId="14">
      <formula>G33&gt;=הגדרות!$C$14</formula>
    </cfRule>
  </conditionalFormatting>
  <conditionalFormatting sqref="H33">
    <cfRule type="expression" priority="140" aboveAverage="0" equalAverage="0" bottom="0" percent="0" rank="0" text="" dxfId="14">
      <formula>H33&gt;=הגדרות!$C$14</formula>
    </cfRule>
  </conditionalFormatting>
  <conditionalFormatting sqref="A33:J33">
    <cfRule type="expression" priority="141" aboveAverage="0" equalAverage="0" bottom="0" percent="0" rank="0" text="" dxfId="14">
      <formula>$I33&gt;0</formula>
    </cfRule>
  </conditionalFormatting>
  <conditionalFormatting sqref="E34">
    <cfRule type="expression" priority="142" aboveAverage="0" equalAverage="0" bottom="0" percent="0" rank="0" text="" dxfId="14">
      <formula>E34&gt;=הגדרות!$C$14</formula>
    </cfRule>
  </conditionalFormatting>
  <conditionalFormatting sqref="F34">
    <cfRule type="expression" priority="143" aboveAverage="0" equalAverage="0" bottom="0" percent="0" rank="0" text="" dxfId="14">
      <formula>F34&gt;=הגדרות!$C$14</formula>
    </cfRule>
  </conditionalFormatting>
  <conditionalFormatting sqref="G34">
    <cfRule type="expression" priority="144" aboveAverage="0" equalAverage="0" bottom="0" percent="0" rank="0" text="" dxfId="14">
      <formula>G34&gt;=הגדרות!$C$14</formula>
    </cfRule>
  </conditionalFormatting>
  <conditionalFormatting sqref="H34">
    <cfRule type="expression" priority="145" aboveAverage="0" equalAverage="0" bottom="0" percent="0" rank="0" text="" dxfId="14">
      <formula>H34&gt;=הגדרות!$C$14</formula>
    </cfRule>
  </conditionalFormatting>
  <conditionalFormatting sqref="A34:J34">
    <cfRule type="expression" priority="146" aboveAverage="0" equalAverage="0" bottom="0" percent="0" rank="0" text="" dxfId="14">
      <formula>$I34&gt;0</formula>
    </cfRule>
  </conditionalFormatting>
  <conditionalFormatting sqref="E35">
    <cfRule type="expression" priority="147" aboveAverage="0" equalAverage="0" bottom="0" percent="0" rank="0" text="" dxfId="14">
      <formula>E35&gt;=הגדרות!$C$14</formula>
    </cfRule>
  </conditionalFormatting>
  <conditionalFormatting sqref="F35">
    <cfRule type="expression" priority="148" aboveAverage="0" equalAverage="0" bottom="0" percent="0" rank="0" text="" dxfId="14">
      <formula>F35&gt;=הגדרות!$C$14</formula>
    </cfRule>
  </conditionalFormatting>
  <conditionalFormatting sqref="G35">
    <cfRule type="expression" priority="149" aboveAverage="0" equalAverage="0" bottom="0" percent="0" rank="0" text="" dxfId="14">
      <formula>G35&gt;=הגדרות!$C$14</formula>
    </cfRule>
  </conditionalFormatting>
  <conditionalFormatting sqref="H35">
    <cfRule type="expression" priority="150" aboveAverage="0" equalAverage="0" bottom="0" percent="0" rank="0" text="" dxfId="14">
      <formula>H35&gt;=הגדרות!$C$14</formula>
    </cfRule>
  </conditionalFormatting>
  <conditionalFormatting sqref="A35:J35">
    <cfRule type="expression" priority="151" aboveAverage="0" equalAverage="0" bottom="0" percent="0" rank="0" text="" dxfId="14">
      <formula>$I35&gt;0</formula>
    </cfRule>
  </conditionalFormatting>
  <conditionalFormatting sqref="E36">
    <cfRule type="expression" priority="152" aboveAverage="0" equalAverage="0" bottom="0" percent="0" rank="0" text="" dxfId="14">
      <formula>E36&gt;=הגדרות!$C$14</formula>
    </cfRule>
  </conditionalFormatting>
  <conditionalFormatting sqref="F36">
    <cfRule type="expression" priority="153" aboveAverage="0" equalAverage="0" bottom="0" percent="0" rank="0" text="" dxfId="14">
      <formula>F36&gt;=הגדרות!$C$14</formula>
    </cfRule>
  </conditionalFormatting>
  <conditionalFormatting sqref="G36">
    <cfRule type="expression" priority="154" aboveAverage="0" equalAverage="0" bottom="0" percent="0" rank="0" text="" dxfId="14">
      <formula>G36&gt;=הגדרות!$C$14</formula>
    </cfRule>
  </conditionalFormatting>
  <conditionalFormatting sqref="H36">
    <cfRule type="expression" priority="155" aboveAverage="0" equalAverage="0" bottom="0" percent="0" rank="0" text="" dxfId="14">
      <formula>H36&gt;=הגדרות!$C$14</formula>
    </cfRule>
  </conditionalFormatting>
  <conditionalFormatting sqref="A36:J36">
    <cfRule type="expression" priority="156" aboveAverage="0" equalAverage="0" bottom="0" percent="0" rank="0" text="" dxfId="14">
      <formula>$I36&gt;0</formula>
    </cfRule>
  </conditionalFormatting>
  <conditionalFormatting sqref="E37">
    <cfRule type="expression" priority="157" aboveAverage="0" equalAverage="0" bottom="0" percent="0" rank="0" text="" dxfId="14">
      <formula>E37&gt;=הגדרות!$C$14</formula>
    </cfRule>
  </conditionalFormatting>
  <conditionalFormatting sqref="F37">
    <cfRule type="expression" priority="158" aboveAverage="0" equalAverage="0" bottom="0" percent="0" rank="0" text="" dxfId="14">
      <formula>F37&gt;=הגדרות!$C$14</formula>
    </cfRule>
  </conditionalFormatting>
  <conditionalFormatting sqref="G37">
    <cfRule type="expression" priority="159" aboveAverage="0" equalAverage="0" bottom="0" percent="0" rank="0" text="" dxfId="14">
      <formula>G37&gt;=הגדרות!$C$14</formula>
    </cfRule>
  </conditionalFormatting>
  <conditionalFormatting sqref="H37">
    <cfRule type="expression" priority="160" aboveAverage="0" equalAverage="0" bottom="0" percent="0" rank="0" text="" dxfId="14">
      <formula>H37&gt;=הגדרות!$C$14</formula>
    </cfRule>
  </conditionalFormatting>
  <conditionalFormatting sqref="A37:J37">
    <cfRule type="expression" priority="161" aboveAverage="0" equalAverage="0" bottom="0" percent="0" rank="0" text="" dxfId="14">
      <formula>$I37&gt;0</formula>
    </cfRule>
  </conditionalFormatting>
  <conditionalFormatting sqref="E38">
    <cfRule type="expression" priority="162" aboveAverage="0" equalAverage="0" bottom="0" percent="0" rank="0" text="" dxfId="14">
      <formula>E38&gt;=הגדרות!$C$14</formula>
    </cfRule>
  </conditionalFormatting>
  <conditionalFormatting sqref="F38">
    <cfRule type="expression" priority="163" aboveAverage="0" equalAverage="0" bottom="0" percent="0" rank="0" text="" dxfId="14">
      <formula>F38&gt;=הגדרות!$C$14</formula>
    </cfRule>
  </conditionalFormatting>
  <conditionalFormatting sqref="G38">
    <cfRule type="expression" priority="164" aboveAverage="0" equalAverage="0" bottom="0" percent="0" rank="0" text="" dxfId="14">
      <formula>G38&gt;=הגדרות!$C$14</formula>
    </cfRule>
  </conditionalFormatting>
  <conditionalFormatting sqref="H38">
    <cfRule type="expression" priority="165" aboveAverage="0" equalAverage="0" bottom="0" percent="0" rank="0" text="" dxfId="14">
      <formula>H38&gt;=הגדרות!$C$14</formula>
    </cfRule>
  </conditionalFormatting>
  <conditionalFormatting sqref="A38:J38">
    <cfRule type="expression" priority="166" aboveAverage="0" equalAverage="0" bottom="0" percent="0" rank="0" text="" dxfId="14">
      <formula>$I38&gt;0</formula>
    </cfRule>
  </conditionalFormatting>
  <conditionalFormatting sqref="E39">
    <cfRule type="expression" priority="167" aboveAverage="0" equalAverage="0" bottom="0" percent="0" rank="0" text="" dxfId="14">
      <formula>E39&gt;=הגדרות!$C$14</formula>
    </cfRule>
  </conditionalFormatting>
  <conditionalFormatting sqref="F39">
    <cfRule type="expression" priority="168" aboveAverage="0" equalAverage="0" bottom="0" percent="0" rank="0" text="" dxfId="14">
      <formula>F39&gt;=הגדרות!$C$14</formula>
    </cfRule>
  </conditionalFormatting>
  <conditionalFormatting sqref="G39">
    <cfRule type="expression" priority="169" aboveAverage="0" equalAverage="0" bottom="0" percent="0" rank="0" text="" dxfId="14">
      <formula>G39&gt;=הגדרות!$C$14</formula>
    </cfRule>
  </conditionalFormatting>
  <conditionalFormatting sqref="H39">
    <cfRule type="expression" priority="170" aboveAverage="0" equalAverage="0" bottom="0" percent="0" rank="0" text="" dxfId="14">
      <formula>H39&gt;=הגדרות!$C$14</formula>
    </cfRule>
  </conditionalFormatting>
  <conditionalFormatting sqref="A39:J39">
    <cfRule type="expression" priority="171" aboveAverage="0" equalAverage="0" bottom="0" percent="0" rank="0" text="" dxfId="14">
      <formula>$I39&gt;0</formula>
    </cfRule>
  </conditionalFormatting>
  <conditionalFormatting sqref="E40">
    <cfRule type="expression" priority="172" aboveAverage="0" equalAverage="0" bottom="0" percent="0" rank="0" text="" dxfId="14">
      <formula>E40&gt;=הגדרות!$C$14</formula>
    </cfRule>
  </conditionalFormatting>
  <conditionalFormatting sqref="F40">
    <cfRule type="expression" priority="173" aboveAverage="0" equalAverage="0" bottom="0" percent="0" rank="0" text="" dxfId="14">
      <formula>F40&gt;=הגדרות!$C$14</formula>
    </cfRule>
  </conditionalFormatting>
  <conditionalFormatting sqref="G40">
    <cfRule type="expression" priority="174" aboveAverage="0" equalAverage="0" bottom="0" percent="0" rank="0" text="" dxfId="14">
      <formula>G40&gt;=הגדרות!$C$14</formula>
    </cfRule>
  </conditionalFormatting>
  <conditionalFormatting sqref="H40">
    <cfRule type="expression" priority="175" aboveAverage="0" equalAverage="0" bottom="0" percent="0" rank="0" text="" dxfId="14">
      <formula>H40&gt;=הגדרות!$C$14</formula>
    </cfRule>
  </conditionalFormatting>
  <conditionalFormatting sqref="A40:J40">
    <cfRule type="expression" priority="176" aboveAverage="0" equalAverage="0" bottom="0" percent="0" rank="0" text="" dxfId="14">
      <formula>$I40&gt;0</formula>
    </cfRule>
  </conditionalFormatting>
  <conditionalFormatting sqref="E41">
    <cfRule type="expression" priority="177" aboveAverage="0" equalAverage="0" bottom="0" percent="0" rank="0" text="" dxfId="14">
      <formula>E41&gt;=הגדרות!$C$14</formula>
    </cfRule>
  </conditionalFormatting>
  <conditionalFormatting sqref="F41">
    <cfRule type="expression" priority="178" aboveAverage="0" equalAverage="0" bottom="0" percent="0" rank="0" text="" dxfId="14">
      <formula>F41&gt;=הגדרות!$C$14</formula>
    </cfRule>
  </conditionalFormatting>
  <conditionalFormatting sqref="G41">
    <cfRule type="expression" priority="179" aboveAverage="0" equalAverage="0" bottom="0" percent="0" rank="0" text="" dxfId="14">
      <formula>G41&gt;=הגדרות!$C$14</formula>
    </cfRule>
  </conditionalFormatting>
  <conditionalFormatting sqref="H41">
    <cfRule type="expression" priority="180" aboveAverage="0" equalAverage="0" bottom="0" percent="0" rank="0" text="" dxfId="14">
      <formula>H41&gt;=הגדרות!$C$14</formula>
    </cfRule>
  </conditionalFormatting>
  <conditionalFormatting sqref="A41:J41">
    <cfRule type="expression" priority="181" aboveAverage="0" equalAverage="0" bottom="0" percent="0" rank="0" text="" dxfId="14">
      <formula>$I41&gt;0</formula>
    </cfRule>
  </conditionalFormatting>
  <conditionalFormatting sqref="E42">
    <cfRule type="expression" priority="182" aboveAverage="0" equalAverage="0" bottom="0" percent="0" rank="0" text="" dxfId="14">
      <formula>E42&gt;=הגדרות!$C$14</formula>
    </cfRule>
  </conditionalFormatting>
  <conditionalFormatting sqref="F42">
    <cfRule type="expression" priority="183" aboveAverage="0" equalAverage="0" bottom="0" percent="0" rank="0" text="" dxfId="14">
      <formula>F42&gt;=הגדרות!$C$14</formula>
    </cfRule>
  </conditionalFormatting>
  <conditionalFormatting sqref="G42">
    <cfRule type="expression" priority="184" aboveAverage="0" equalAverage="0" bottom="0" percent="0" rank="0" text="" dxfId="14">
      <formula>G42&gt;=הגדרות!$C$14</formula>
    </cfRule>
  </conditionalFormatting>
  <conditionalFormatting sqref="H42">
    <cfRule type="expression" priority="185" aboveAverage="0" equalAverage="0" bottom="0" percent="0" rank="0" text="" dxfId="14">
      <formula>H42&gt;=הגדרות!$C$14</formula>
    </cfRule>
  </conditionalFormatting>
  <conditionalFormatting sqref="A42:J42">
    <cfRule type="expression" priority="186" aboveAverage="0" equalAverage="0" bottom="0" percent="0" rank="0" text="" dxfId="14">
      <formula>$I42&gt;0</formula>
    </cfRule>
  </conditionalFormatting>
  <conditionalFormatting sqref="E43">
    <cfRule type="expression" priority="187" aboveAverage="0" equalAverage="0" bottom="0" percent="0" rank="0" text="" dxfId="14">
      <formula>E43&gt;=הגדרות!$C$14</formula>
    </cfRule>
  </conditionalFormatting>
  <conditionalFormatting sqref="F43">
    <cfRule type="expression" priority="188" aboveAverage="0" equalAverage="0" bottom="0" percent="0" rank="0" text="" dxfId="14">
      <formula>F43&gt;=הגדרות!$C$14</formula>
    </cfRule>
  </conditionalFormatting>
  <conditionalFormatting sqref="G43">
    <cfRule type="expression" priority="189" aboveAverage="0" equalAverage="0" bottom="0" percent="0" rank="0" text="" dxfId="14">
      <formula>G43&gt;=הגדרות!$C$14</formula>
    </cfRule>
  </conditionalFormatting>
  <conditionalFormatting sqref="H43">
    <cfRule type="expression" priority="190" aboveAverage="0" equalAverage="0" bottom="0" percent="0" rank="0" text="" dxfId="14">
      <formula>H43&gt;=הגדרות!$C$14</formula>
    </cfRule>
  </conditionalFormatting>
  <conditionalFormatting sqref="A43:J43">
    <cfRule type="expression" priority="191" aboveAverage="0" equalAverage="0" bottom="0" percent="0" rank="0" text="" dxfId="14">
      <formula>$I43&gt;0</formula>
    </cfRule>
  </conditionalFormatting>
  <conditionalFormatting sqref="E44">
    <cfRule type="expression" priority="192" aboveAverage="0" equalAverage="0" bottom="0" percent="0" rank="0" text="" dxfId="14">
      <formula>E44&gt;=הגדרות!$C$14</formula>
    </cfRule>
  </conditionalFormatting>
  <conditionalFormatting sqref="F44">
    <cfRule type="expression" priority="193" aboveAverage="0" equalAverage="0" bottom="0" percent="0" rank="0" text="" dxfId="14">
      <formula>F44&gt;=הגדרות!$C$14</formula>
    </cfRule>
  </conditionalFormatting>
  <conditionalFormatting sqref="G44">
    <cfRule type="expression" priority="194" aboveAverage="0" equalAverage="0" bottom="0" percent="0" rank="0" text="" dxfId="14">
      <formula>G44&gt;=הגדרות!$C$14</formula>
    </cfRule>
  </conditionalFormatting>
  <conditionalFormatting sqref="H44">
    <cfRule type="expression" priority="195" aboveAverage="0" equalAverage="0" bottom="0" percent="0" rank="0" text="" dxfId="14">
      <formula>H44&gt;=הגדרות!$C$14</formula>
    </cfRule>
  </conditionalFormatting>
  <conditionalFormatting sqref="A44:J44">
    <cfRule type="expression" priority="196" aboveAverage="0" equalAverage="0" bottom="0" percent="0" rank="0" text="" dxfId="14">
      <formula>$I44&gt;0</formula>
    </cfRule>
  </conditionalFormatting>
  <conditionalFormatting sqref="E45">
    <cfRule type="expression" priority="197" aboveAverage="0" equalAverage="0" bottom="0" percent="0" rank="0" text="" dxfId="14">
      <formula>E45&gt;=הגדרות!$C$14</formula>
    </cfRule>
  </conditionalFormatting>
  <conditionalFormatting sqref="F45">
    <cfRule type="expression" priority="198" aboveAverage="0" equalAverage="0" bottom="0" percent="0" rank="0" text="" dxfId="14">
      <formula>F45&gt;=הגדרות!$C$14</formula>
    </cfRule>
  </conditionalFormatting>
  <conditionalFormatting sqref="G45">
    <cfRule type="expression" priority="199" aboveAverage="0" equalAverage="0" bottom="0" percent="0" rank="0" text="" dxfId="14">
      <formula>G45&gt;=הגדרות!$C$14</formula>
    </cfRule>
  </conditionalFormatting>
  <conditionalFormatting sqref="H45">
    <cfRule type="expression" priority="200" aboveAverage="0" equalAverage="0" bottom="0" percent="0" rank="0" text="" dxfId="14">
      <formula>H45&gt;=הגדרות!$C$14</formula>
    </cfRule>
  </conditionalFormatting>
  <conditionalFormatting sqref="A45:J45">
    <cfRule type="expression" priority="201" aboveAverage="0" equalAverage="0" bottom="0" percent="0" rank="0" text="" dxfId="14">
      <formula>$I45&gt;0</formula>
    </cfRule>
  </conditionalFormatting>
  <conditionalFormatting sqref="E46">
    <cfRule type="expression" priority="202" aboveAverage="0" equalAverage="0" bottom="0" percent="0" rank="0" text="" dxfId="14">
      <formula>E46&gt;=הגדרות!$C$14</formula>
    </cfRule>
  </conditionalFormatting>
  <conditionalFormatting sqref="F46">
    <cfRule type="expression" priority="203" aboveAverage="0" equalAverage="0" bottom="0" percent="0" rank="0" text="" dxfId="14">
      <formula>F46&gt;=הגדרות!$C$14</formula>
    </cfRule>
  </conditionalFormatting>
  <conditionalFormatting sqref="G46">
    <cfRule type="expression" priority="204" aboveAverage="0" equalAverage="0" bottom="0" percent="0" rank="0" text="" dxfId="14">
      <formula>G46&gt;=הגדרות!$C$14</formula>
    </cfRule>
  </conditionalFormatting>
  <conditionalFormatting sqref="H46">
    <cfRule type="expression" priority="205" aboveAverage="0" equalAverage="0" bottom="0" percent="0" rank="0" text="" dxfId="14">
      <formula>H46&gt;=הגדרות!$C$14</formula>
    </cfRule>
  </conditionalFormatting>
  <conditionalFormatting sqref="A46:J46">
    <cfRule type="expression" priority="206" aboveAverage="0" equalAverage="0" bottom="0" percent="0" rank="0" text="" dxfId="14">
      <formula>$I46&gt;0</formula>
    </cfRule>
  </conditionalFormatting>
  <conditionalFormatting sqref="E47">
    <cfRule type="expression" priority="207" aboveAverage="0" equalAverage="0" bottom="0" percent="0" rank="0" text="" dxfId="14">
      <formula>E47&gt;=הגדרות!$C$14</formula>
    </cfRule>
  </conditionalFormatting>
  <conditionalFormatting sqref="F47">
    <cfRule type="expression" priority="208" aboveAverage="0" equalAverage="0" bottom="0" percent="0" rank="0" text="" dxfId="14">
      <formula>F47&gt;=הגדרות!$C$14</formula>
    </cfRule>
  </conditionalFormatting>
  <conditionalFormatting sqref="G47">
    <cfRule type="expression" priority="209" aboveAverage="0" equalAverage="0" bottom="0" percent="0" rank="0" text="" dxfId="14">
      <formula>G47&gt;=הגדרות!$C$14</formula>
    </cfRule>
  </conditionalFormatting>
  <conditionalFormatting sqref="H47">
    <cfRule type="expression" priority="210" aboveAverage="0" equalAverage="0" bottom="0" percent="0" rank="0" text="" dxfId="14">
      <formula>H47&gt;=הגדרות!$C$14</formula>
    </cfRule>
  </conditionalFormatting>
  <conditionalFormatting sqref="A47:J47">
    <cfRule type="expression" priority="211" aboveAverage="0" equalAverage="0" bottom="0" percent="0" rank="0" text="" dxfId="14">
      <formula>$I47&gt;0</formula>
    </cfRule>
  </conditionalFormatting>
  <conditionalFormatting sqref="E48">
    <cfRule type="expression" priority="212" aboveAverage="0" equalAverage="0" bottom="0" percent="0" rank="0" text="" dxfId="14">
      <formula>E48&gt;=הגדרות!$C$14</formula>
    </cfRule>
  </conditionalFormatting>
  <conditionalFormatting sqref="F48">
    <cfRule type="expression" priority="213" aboveAverage="0" equalAverage="0" bottom="0" percent="0" rank="0" text="" dxfId="14">
      <formula>F48&gt;=הגדרות!$C$14</formula>
    </cfRule>
  </conditionalFormatting>
  <conditionalFormatting sqref="G48">
    <cfRule type="expression" priority="214" aboveAverage="0" equalAverage="0" bottom="0" percent="0" rank="0" text="" dxfId="14">
      <formula>G48&gt;=הגדרות!$C$14</formula>
    </cfRule>
  </conditionalFormatting>
  <conditionalFormatting sqref="H48">
    <cfRule type="expression" priority="215" aboveAverage="0" equalAverage="0" bottom="0" percent="0" rank="0" text="" dxfId="14">
      <formula>H48&gt;=הגדרות!$C$14</formula>
    </cfRule>
  </conditionalFormatting>
  <conditionalFormatting sqref="A48:J48">
    <cfRule type="expression" priority="216" aboveAverage="0" equalAverage="0" bottom="0" percent="0" rank="0" text="" dxfId="14">
      <formula>$I48&gt;0</formula>
    </cfRule>
  </conditionalFormatting>
  <conditionalFormatting sqref="E49">
    <cfRule type="expression" priority="217" aboveAverage="0" equalAverage="0" bottom="0" percent="0" rank="0" text="" dxfId="14">
      <formula>E49&gt;=הגדרות!$C$14</formula>
    </cfRule>
  </conditionalFormatting>
  <conditionalFormatting sqref="F49">
    <cfRule type="expression" priority="218" aboveAverage="0" equalAverage="0" bottom="0" percent="0" rank="0" text="" dxfId="14">
      <formula>F49&gt;=הגדרות!$C$14</formula>
    </cfRule>
  </conditionalFormatting>
  <conditionalFormatting sqref="G49">
    <cfRule type="expression" priority="219" aboveAverage="0" equalAverage="0" bottom="0" percent="0" rank="0" text="" dxfId="14">
      <formula>G49&gt;=הגדרות!$C$14</formula>
    </cfRule>
  </conditionalFormatting>
  <conditionalFormatting sqref="H49">
    <cfRule type="expression" priority="220" aboveAverage="0" equalAverage="0" bottom="0" percent="0" rank="0" text="" dxfId="14">
      <formula>H49&gt;=הגדרות!$C$14</formula>
    </cfRule>
  </conditionalFormatting>
  <conditionalFormatting sqref="A49:J49">
    <cfRule type="expression" priority="221" aboveAverage="0" equalAverage="0" bottom="0" percent="0" rank="0" text="" dxfId="14">
      <formula>$I49&gt;0</formula>
    </cfRule>
  </conditionalFormatting>
  <conditionalFormatting sqref="E50">
    <cfRule type="expression" priority="222" aboveAverage="0" equalAverage="0" bottom="0" percent="0" rank="0" text="" dxfId="14">
      <formula>E50&gt;=הגדרות!$C$14</formula>
    </cfRule>
  </conditionalFormatting>
  <conditionalFormatting sqref="F50">
    <cfRule type="expression" priority="223" aboveAverage="0" equalAverage="0" bottom="0" percent="0" rank="0" text="" dxfId="14">
      <formula>F50&gt;=הגדרות!$C$14</formula>
    </cfRule>
  </conditionalFormatting>
  <conditionalFormatting sqref="G50">
    <cfRule type="expression" priority="224" aboveAverage="0" equalAverage="0" bottom="0" percent="0" rank="0" text="" dxfId="14">
      <formula>G50&gt;=הגדרות!$C$14</formula>
    </cfRule>
  </conditionalFormatting>
  <conditionalFormatting sqref="H50">
    <cfRule type="expression" priority="225" aboveAverage="0" equalAverage="0" bottom="0" percent="0" rank="0" text="" dxfId="14">
      <formula>H50&gt;=הגדרות!$C$14</formula>
    </cfRule>
  </conditionalFormatting>
  <conditionalFormatting sqref="A50:J50">
    <cfRule type="expression" priority="226" aboveAverage="0" equalAverage="0" bottom="0" percent="0" rank="0" text="" dxfId="14">
      <formula>$I50&gt;0</formula>
    </cfRule>
  </conditionalFormatting>
  <conditionalFormatting sqref="E51">
    <cfRule type="expression" priority="227" aboveAverage="0" equalAverage="0" bottom="0" percent="0" rank="0" text="" dxfId="14">
      <formula>E51&gt;=הגדרות!$C$14</formula>
    </cfRule>
  </conditionalFormatting>
  <conditionalFormatting sqref="F51">
    <cfRule type="expression" priority="228" aboveAverage="0" equalAverage="0" bottom="0" percent="0" rank="0" text="" dxfId="14">
      <formula>F51&gt;=הגדרות!$C$14</formula>
    </cfRule>
  </conditionalFormatting>
  <conditionalFormatting sqref="G51">
    <cfRule type="expression" priority="229" aboveAverage="0" equalAverage="0" bottom="0" percent="0" rank="0" text="" dxfId="14">
      <formula>G51&gt;=הגדרות!$C$14</formula>
    </cfRule>
  </conditionalFormatting>
  <conditionalFormatting sqref="H51">
    <cfRule type="expression" priority="230" aboveAverage="0" equalAverage="0" bottom="0" percent="0" rank="0" text="" dxfId="14">
      <formula>H51&gt;=הגדרות!$C$14</formula>
    </cfRule>
  </conditionalFormatting>
  <conditionalFormatting sqref="A51:J51">
    <cfRule type="expression" priority="231" aboveAverage="0" equalAverage="0" bottom="0" percent="0" rank="0" text="" dxfId="14">
      <formula>$I51&gt;0</formula>
    </cfRule>
  </conditionalFormatting>
  <conditionalFormatting sqref="E52">
    <cfRule type="expression" priority="232" aboveAverage="0" equalAverage="0" bottom="0" percent="0" rank="0" text="" dxfId="14">
      <formula>E52&gt;=הגדרות!$C$14</formula>
    </cfRule>
  </conditionalFormatting>
  <conditionalFormatting sqref="F52">
    <cfRule type="expression" priority="233" aboveAverage="0" equalAverage="0" bottom="0" percent="0" rank="0" text="" dxfId="14">
      <formula>F52&gt;=הגדרות!$C$14</formula>
    </cfRule>
  </conditionalFormatting>
  <conditionalFormatting sqref="G52">
    <cfRule type="expression" priority="234" aboveAverage="0" equalAverage="0" bottom="0" percent="0" rank="0" text="" dxfId="14">
      <formula>G52&gt;=הגדרות!$C$14</formula>
    </cfRule>
  </conditionalFormatting>
  <conditionalFormatting sqref="H52">
    <cfRule type="expression" priority="235" aboveAverage="0" equalAverage="0" bottom="0" percent="0" rank="0" text="" dxfId="14">
      <formula>H52&gt;=הגדרות!$C$14</formula>
    </cfRule>
  </conditionalFormatting>
  <conditionalFormatting sqref="A52:J52">
    <cfRule type="expression" priority="236" aboveAverage="0" equalAverage="0" bottom="0" percent="0" rank="0" text="" dxfId="14">
      <formula>$I52&gt;0</formula>
    </cfRule>
  </conditionalFormatting>
  <conditionalFormatting sqref="E53">
    <cfRule type="expression" priority="237" aboveAverage="0" equalAverage="0" bottom="0" percent="0" rank="0" text="" dxfId="14">
      <formula>E53&gt;=הגדרות!$C$14</formula>
    </cfRule>
  </conditionalFormatting>
  <conditionalFormatting sqref="F53">
    <cfRule type="expression" priority="238" aboveAverage="0" equalAverage="0" bottom="0" percent="0" rank="0" text="" dxfId="14">
      <formula>F53&gt;=הגדרות!$C$14</formula>
    </cfRule>
  </conditionalFormatting>
  <conditionalFormatting sqref="G53">
    <cfRule type="expression" priority="239" aboveAverage="0" equalAverage="0" bottom="0" percent="0" rank="0" text="" dxfId="14">
      <formula>G53&gt;=הגדרות!$C$14</formula>
    </cfRule>
  </conditionalFormatting>
  <conditionalFormatting sqref="H53">
    <cfRule type="expression" priority="240" aboveAverage="0" equalAverage="0" bottom="0" percent="0" rank="0" text="" dxfId="14">
      <formula>H53&gt;=הגדרות!$C$14</formula>
    </cfRule>
  </conditionalFormatting>
  <conditionalFormatting sqref="A53:J53">
    <cfRule type="expression" priority="241" aboveAverage="0" equalAverage="0" bottom="0" percent="0" rank="0" text="" dxfId="14">
      <formula>$I53&gt;0</formula>
    </cfRule>
  </conditionalFormatting>
  <conditionalFormatting sqref="E54">
    <cfRule type="expression" priority="242" aboveAverage="0" equalAverage="0" bottom="0" percent="0" rank="0" text="" dxfId="14">
      <formula>E54&gt;=הגדרות!$C$14</formula>
    </cfRule>
  </conditionalFormatting>
  <conditionalFormatting sqref="F54">
    <cfRule type="expression" priority="243" aboveAverage="0" equalAverage="0" bottom="0" percent="0" rank="0" text="" dxfId="14">
      <formula>F54&gt;=הגדרות!$C$14</formula>
    </cfRule>
  </conditionalFormatting>
  <conditionalFormatting sqref="G54">
    <cfRule type="expression" priority="244" aboveAverage="0" equalAverage="0" bottom="0" percent="0" rank="0" text="" dxfId="14">
      <formula>G54&gt;=הגדרות!$C$14</formula>
    </cfRule>
  </conditionalFormatting>
  <conditionalFormatting sqref="H54">
    <cfRule type="expression" priority="245" aboveAverage="0" equalAverage="0" bottom="0" percent="0" rank="0" text="" dxfId="14">
      <formula>H54&gt;=הגדרות!$C$14</formula>
    </cfRule>
  </conditionalFormatting>
  <conditionalFormatting sqref="A54:J54">
    <cfRule type="expression" priority="246" aboveAverage="0" equalAverage="0" bottom="0" percent="0" rank="0" text="" dxfId="14">
      <formula>$I54&gt;0</formula>
    </cfRule>
  </conditionalFormatting>
  <conditionalFormatting sqref="E55">
    <cfRule type="expression" priority="247" aboveAverage="0" equalAverage="0" bottom="0" percent="0" rank="0" text="" dxfId="14">
      <formula>E55&gt;=הגדרות!$C$14</formula>
    </cfRule>
  </conditionalFormatting>
  <conditionalFormatting sqref="F55">
    <cfRule type="expression" priority="248" aboveAverage="0" equalAverage="0" bottom="0" percent="0" rank="0" text="" dxfId="14">
      <formula>F55&gt;=הגדרות!$C$14</formula>
    </cfRule>
  </conditionalFormatting>
  <conditionalFormatting sqref="G55">
    <cfRule type="expression" priority="249" aboveAverage="0" equalAverage="0" bottom="0" percent="0" rank="0" text="" dxfId="14">
      <formula>G55&gt;=הגדרות!$C$14</formula>
    </cfRule>
  </conditionalFormatting>
  <conditionalFormatting sqref="H55">
    <cfRule type="expression" priority="250" aboveAverage="0" equalAverage="0" bottom="0" percent="0" rank="0" text="" dxfId="14">
      <formula>H55&gt;=הגדרות!$C$14</formula>
    </cfRule>
  </conditionalFormatting>
  <conditionalFormatting sqref="A55:J55">
    <cfRule type="expression" priority="251" aboveAverage="0" equalAverage="0" bottom="0" percent="0" rank="0" text="" dxfId="14">
      <formula>$I55&gt;0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2" min="2" style="1" width="10"/>
  </cols>
  <sheetData>
    <row r="1" customFormat="false" ht="31.5" hidden="false" customHeight="true" outlineLevel="0" collapsed="false">
      <c r="A1" s="126" t="s">
        <v>110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customFormat="false" ht="18" hidden="false" customHeight="true" outlineLevel="0" collapsed="false">
      <c r="A2" s="127" t="s">
        <v>111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4" customFormat="false" ht="21.75" hidden="false" customHeight="true" outlineLevel="0" collapsed="false">
      <c r="A4" s="19" t="s">
        <v>34</v>
      </c>
      <c r="B4" s="21" t="s">
        <v>112</v>
      </c>
      <c r="C4" s="21"/>
      <c r="D4" s="21"/>
      <c r="E4" s="12" t="s">
        <v>107</v>
      </c>
      <c r="F4" s="12"/>
      <c r="G4" s="12"/>
      <c r="H4" s="9" t="s">
        <v>108</v>
      </c>
      <c r="I4" s="9"/>
      <c r="J4" s="9"/>
      <c r="K4" s="22" t="s">
        <v>109</v>
      </c>
      <c r="L4" s="22"/>
      <c r="M4" s="22"/>
    </row>
    <row r="5" customFormat="false" ht="18" hidden="false" customHeight="true" outlineLevel="0" collapsed="false">
      <c r="A5" s="37"/>
      <c r="B5" s="38" t="s">
        <v>89</v>
      </c>
      <c r="C5" s="38" t="s">
        <v>48</v>
      </c>
      <c r="D5" s="38" t="s">
        <v>49</v>
      </c>
      <c r="E5" s="41" t="s">
        <v>89</v>
      </c>
      <c r="F5" s="41" t="s">
        <v>48</v>
      </c>
      <c r="G5" s="41" t="s">
        <v>49</v>
      </c>
      <c r="H5" s="39" t="s">
        <v>89</v>
      </c>
      <c r="I5" s="39" t="s">
        <v>48</v>
      </c>
      <c r="J5" s="39" t="s">
        <v>49</v>
      </c>
      <c r="K5" s="40" t="s">
        <v>89</v>
      </c>
      <c r="L5" s="40" t="s">
        <v>48</v>
      </c>
      <c r="M5" s="40" t="s">
        <v>49</v>
      </c>
    </row>
    <row r="6" customFormat="false" ht="15" hidden="false" customHeight="true" outlineLevel="0" collapsed="false">
      <c r="A6" s="42" t="str">
        <f aca="false">IFERROR(INDEX(T_Depts[מחלקה],1),"")</f>
        <v/>
      </c>
      <c r="B6" s="69" t="n">
        <f aca="false">IFERROR(SUMPRODUCT((T_Standards[מחלקה]=$A6)*T_Standards[תקן])*7,0)</f>
        <v>0</v>
      </c>
      <c r="C6" s="44" t="n">
        <f aca="false">IFERROR(COUNTIFS(T_Assign[תאריך],"&gt;="&amp;הגדרות!$C$3+0,T_Assign[תאריך],"&lt;="&amp;הגדרות!$C$3+6,T_Assign[מחלקה],$A6),0)</f>
        <v>0</v>
      </c>
      <c r="D6" s="100" t="n">
        <f aca="false">IFERROR(B6-C6,0)</f>
        <v>0</v>
      </c>
      <c r="E6" s="69" t="n">
        <f aca="false">IFERROR(SUMPRODUCT((T_Standards[מחלקה]=$A6)*T_Standards[תקן])*7,0)</f>
        <v>0</v>
      </c>
      <c r="F6" s="44" t="n">
        <f aca="false">IFERROR(COUNTIFS(T_Assign[תאריך],"&gt;="&amp;הגדרות!$C$3+7,T_Assign[תאריך],"&lt;="&amp;הגדרות!$C$3+13,T_Assign[מחלקה],$A6),0)</f>
        <v>0</v>
      </c>
      <c r="G6" s="100" t="n">
        <f aca="false">IFERROR(E6-F6,0)</f>
        <v>0</v>
      </c>
      <c r="H6" s="69" t="n">
        <f aca="false">IFERROR(SUMPRODUCT((T_Standards[מחלקה]=$A6)*T_Standards[תקן])*7,0)</f>
        <v>0</v>
      </c>
      <c r="I6" s="44" t="n">
        <f aca="false">IFERROR(COUNTIFS(T_Assign[תאריך],"&gt;="&amp;הגדרות!$C$3+14,T_Assign[תאריך],"&lt;="&amp;הגדרות!$C$3+20,T_Assign[מחלקה],$A6),0)</f>
        <v>0</v>
      </c>
      <c r="J6" s="100" t="n">
        <f aca="false">IFERROR(H6-I6,0)</f>
        <v>0</v>
      </c>
      <c r="K6" s="69" t="n">
        <f aca="false">IFERROR(SUMPRODUCT((T_Standards[מחלקה]=$A6)*T_Standards[תקן])*7,0)</f>
        <v>0</v>
      </c>
      <c r="L6" s="44" t="n">
        <f aca="false">IFERROR(COUNTIFS(T_Assign[תאריך],"&gt;="&amp;הגדרות!$C$3+21,T_Assign[תאריך],"&lt;="&amp;הגדרות!$C$3+27,T_Assign[מחלקה],$A6),0)</f>
        <v>0</v>
      </c>
      <c r="M6" s="100" t="n">
        <f aca="false">IFERROR(K6-L6,0)</f>
        <v>0</v>
      </c>
    </row>
    <row r="7" customFormat="false" ht="15" hidden="false" customHeight="true" outlineLevel="0" collapsed="false">
      <c r="A7" s="42" t="str">
        <f aca="false">IFERROR(INDEX(T_Depts[מחלקה],2),"")</f>
        <v/>
      </c>
      <c r="B7" s="71" t="n">
        <f aca="false">IFERROR(SUMPRODUCT((T_Standards[מחלקה]=$A7)*T_Standards[תקן])*7,0)</f>
        <v>0</v>
      </c>
      <c r="C7" s="50" t="n">
        <f aca="false">IFERROR(COUNTIFS(T_Assign[תאריך],"&gt;="&amp;הגדרות!$C$3+0,T_Assign[תאריך],"&lt;="&amp;הגדרות!$C$3+6,T_Assign[מחלקה],$A7),0)</f>
        <v>0</v>
      </c>
      <c r="D7" s="103" t="n">
        <f aca="false">IFERROR(B7-C7,0)</f>
        <v>0</v>
      </c>
      <c r="E7" s="71" t="n">
        <f aca="false">IFERROR(SUMPRODUCT((T_Standards[מחלקה]=$A7)*T_Standards[תקן])*7,0)</f>
        <v>0</v>
      </c>
      <c r="F7" s="50" t="n">
        <f aca="false">IFERROR(COUNTIFS(T_Assign[תאריך],"&gt;="&amp;הגדרות!$C$3+7,T_Assign[תאריך],"&lt;="&amp;הגדרות!$C$3+13,T_Assign[מחלקה],$A7),0)</f>
        <v>0</v>
      </c>
      <c r="G7" s="103" t="n">
        <f aca="false">IFERROR(E7-F7,0)</f>
        <v>0</v>
      </c>
      <c r="H7" s="71" t="n">
        <f aca="false">IFERROR(SUMPRODUCT((T_Standards[מחלקה]=$A7)*T_Standards[תקן])*7,0)</f>
        <v>0</v>
      </c>
      <c r="I7" s="50" t="n">
        <f aca="false">IFERROR(COUNTIFS(T_Assign[תאריך],"&gt;="&amp;הגדרות!$C$3+14,T_Assign[תאריך],"&lt;="&amp;הגדרות!$C$3+20,T_Assign[מחלקה],$A7),0)</f>
        <v>0</v>
      </c>
      <c r="J7" s="103" t="n">
        <f aca="false">IFERROR(H7-I7,0)</f>
        <v>0</v>
      </c>
      <c r="K7" s="71" t="n">
        <f aca="false">IFERROR(SUMPRODUCT((T_Standards[מחלקה]=$A7)*T_Standards[תקן])*7,0)</f>
        <v>0</v>
      </c>
      <c r="L7" s="50" t="n">
        <f aca="false">IFERROR(COUNTIFS(T_Assign[תאריך],"&gt;="&amp;הגדרות!$C$3+21,T_Assign[תאריך],"&lt;="&amp;הגדרות!$C$3+27,T_Assign[מחלקה],$A7),0)</f>
        <v>0</v>
      </c>
      <c r="M7" s="103" t="n">
        <f aca="false">IFERROR(K7-L7,0)</f>
        <v>0</v>
      </c>
    </row>
    <row r="8" customFormat="false" ht="15" hidden="false" customHeight="true" outlineLevel="0" collapsed="false">
      <c r="A8" s="42" t="str">
        <f aca="false">IFERROR(INDEX(T_Depts[מחלקה],3),"")</f>
        <v/>
      </c>
      <c r="B8" s="69" t="n">
        <f aca="false">IFERROR(SUMPRODUCT((T_Standards[מחלקה]=$A8)*T_Standards[תקן])*7,0)</f>
        <v>0</v>
      </c>
      <c r="C8" s="44" t="n">
        <f aca="false">IFERROR(COUNTIFS(T_Assign[תאריך],"&gt;="&amp;הגדרות!$C$3+0,T_Assign[תאריך],"&lt;="&amp;הגדרות!$C$3+6,T_Assign[מחלקה],$A8),0)</f>
        <v>0</v>
      </c>
      <c r="D8" s="100" t="n">
        <f aca="false">IFERROR(B8-C8,0)</f>
        <v>0</v>
      </c>
      <c r="E8" s="69" t="n">
        <f aca="false">IFERROR(SUMPRODUCT((T_Standards[מחלקה]=$A8)*T_Standards[תקן])*7,0)</f>
        <v>0</v>
      </c>
      <c r="F8" s="44" t="n">
        <f aca="false">IFERROR(COUNTIFS(T_Assign[תאריך],"&gt;="&amp;הגדרות!$C$3+7,T_Assign[תאריך],"&lt;="&amp;הגדרות!$C$3+13,T_Assign[מחלקה],$A8),0)</f>
        <v>0</v>
      </c>
      <c r="G8" s="100" t="n">
        <f aca="false">IFERROR(E8-F8,0)</f>
        <v>0</v>
      </c>
      <c r="H8" s="69" t="n">
        <f aca="false">IFERROR(SUMPRODUCT((T_Standards[מחלקה]=$A8)*T_Standards[תקן])*7,0)</f>
        <v>0</v>
      </c>
      <c r="I8" s="44" t="n">
        <f aca="false">IFERROR(COUNTIFS(T_Assign[תאריך],"&gt;="&amp;הגדרות!$C$3+14,T_Assign[תאריך],"&lt;="&amp;הגדרות!$C$3+20,T_Assign[מחלקה],$A8),0)</f>
        <v>0</v>
      </c>
      <c r="J8" s="100" t="n">
        <f aca="false">IFERROR(H8-I8,0)</f>
        <v>0</v>
      </c>
      <c r="K8" s="69" t="n">
        <f aca="false">IFERROR(SUMPRODUCT((T_Standards[מחלקה]=$A8)*T_Standards[תקן])*7,0)</f>
        <v>0</v>
      </c>
      <c r="L8" s="44" t="n">
        <f aca="false">IFERROR(COUNTIFS(T_Assign[תאריך],"&gt;="&amp;הגדרות!$C$3+21,T_Assign[תאריך],"&lt;="&amp;הגדרות!$C$3+27,T_Assign[מחלקה],$A8),0)</f>
        <v>0</v>
      </c>
      <c r="M8" s="100" t="n">
        <f aca="false">IFERROR(K8-L8,0)</f>
        <v>0</v>
      </c>
    </row>
    <row r="9" customFormat="false" ht="15" hidden="false" customHeight="true" outlineLevel="0" collapsed="false">
      <c r="A9" s="42" t="str">
        <f aca="false">IFERROR(INDEX(T_Depts[מחלקה],4),"")</f>
        <v/>
      </c>
      <c r="B9" s="71" t="n">
        <f aca="false">IFERROR(SUMPRODUCT((T_Standards[מחלקה]=$A9)*T_Standards[תקן])*7,0)</f>
        <v>0</v>
      </c>
      <c r="C9" s="50" t="n">
        <f aca="false">IFERROR(COUNTIFS(T_Assign[תאריך],"&gt;="&amp;הגדרות!$C$3+0,T_Assign[תאריך],"&lt;="&amp;הגדרות!$C$3+6,T_Assign[מחלקה],$A9),0)</f>
        <v>0</v>
      </c>
      <c r="D9" s="103" t="n">
        <f aca="false">IFERROR(B9-C9,0)</f>
        <v>0</v>
      </c>
      <c r="E9" s="71" t="n">
        <f aca="false">IFERROR(SUMPRODUCT((T_Standards[מחלקה]=$A9)*T_Standards[תקן])*7,0)</f>
        <v>0</v>
      </c>
      <c r="F9" s="50" t="n">
        <f aca="false">IFERROR(COUNTIFS(T_Assign[תאריך],"&gt;="&amp;הגדרות!$C$3+7,T_Assign[תאריך],"&lt;="&amp;הגדרות!$C$3+13,T_Assign[מחלקה],$A9),0)</f>
        <v>0</v>
      </c>
      <c r="G9" s="103" t="n">
        <f aca="false">IFERROR(E9-F9,0)</f>
        <v>0</v>
      </c>
      <c r="H9" s="71" t="n">
        <f aca="false">IFERROR(SUMPRODUCT((T_Standards[מחלקה]=$A9)*T_Standards[תקן])*7,0)</f>
        <v>0</v>
      </c>
      <c r="I9" s="50" t="n">
        <f aca="false">IFERROR(COUNTIFS(T_Assign[תאריך],"&gt;="&amp;הגדרות!$C$3+14,T_Assign[תאריך],"&lt;="&amp;הגדרות!$C$3+20,T_Assign[מחלקה],$A9),0)</f>
        <v>0</v>
      </c>
      <c r="J9" s="103" t="n">
        <f aca="false">IFERROR(H9-I9,0)</f>
        <v>0</v>
      </c>
      <c r="K9" s="71" t="n">
        <f aca="false">IFERROR(SUMPRODUCT((T_Standards[מחלקה]=$A9)*T_Standards[תקן])*7,0)</f>
        <v>0</v>
      </c>
      <c r="L9" s="50" t="n">
        <f aca="false">IFERROR(COUNTIFS(T_Assign[תאריך],"&gt;="&amp;הגדרות!$C$3+21,T_Assign[תאריך],"&lt;="&amp;הגדרות!$C$3+27,T_Assign[מחלקה],$A9),0)</f>
        <v>0</v>
      </c>
      <c r="M9" s="103" t="n">
        <f aca="false">IFERROR(K9-L9,0)</f>
        <v>0</v>
      </c>
    </row>
    <row r="10" customFormat="false" ht="15" hidden="false" customHeight="true" outlineLevel="0" collapsed="false">
      <c r="A10" s="42" t="str">
        <f aca="false">IFERROR(INDEX(T_Depts[מחלקה],5),"")</f>
        <v/>
      </c>
      <c r="B10" s="69" t="n">
        <f aca="false">IFERROR(SUMPRODUCT((T_Standards[מחלקה]=$A10)*T_Standards[תקן])*7,0)</f>
        <v>0</v>
      </c>
      <c r="C10" s="44" t="n">
        <f aca="false">IFERROR(COUNTIFS(T_Assign[תאריך],"&gt;="&amp;הגדרות!$C$3+0,T_Assign[תאריך],"&lt;="&amp;הגדרות!$C$3+6,T_Assign[מחלקה],$A10),0)</f>
        <v>0</v>
      </c>
      <c r="D10" s="100" t="n">
        <f aca="false">IFERROR(B10-C10,0)</f>
        <v>0</v>
      </c>
      <c r="E10" s="69" t="n">
        <f aca="false">IFERROR(SUMPRODUCT((T_Standards[מחלקה]=$A10)*T_Standards[תקן])*7,0)</f>
        <v>0</v>
      </c>
      <c r="F10" s="44" t="n">
        <f aca="false">IFERROR(COUNTIFS(T_Assign[תאריך],"&gt;="&amp;הגדרות!$C$3+7,T_Assign[תאריך],"&lt;="&amp;הגדרות!$C$3+13,T_Assign[מחלקה],$A10),0)</f>
        <v>0</v>
      </c>
      <c r="G10" s="100" t="n">
        <f aca="false">IFERROR(E10-F10,0)</f>
        <v>0</v>
      </c>
      <c r="H10" s="69" t="n">
        <f aca="false">IFERROR(SUMPRODUCT((T_Standards[מחלקה]=$A10)*T_Standards[תקן])*7,0)</f>
        <v>0</v>
      </c>
      <c r="I10" s="44" t="n">
        <f aca="false">IFERROR(COUNTIFS(T_Assign[תאריך],"&gt;="&amp;הגדרות!$C$3+14,T_Assign[תאריך],"&lt;="&amp;הגדרות!$C$3+20,T_Assign[מחלקה],$A10),0)</f>
        <v>0</v>
      </c>
      <c r="J10" s="100" t="n">
        <f aca="false">IFERROR(H10-I10,0)</f>
        <v>0</v>
      </c>
      <c r="K10" s="69" t="n">
        <f aca="false">IFERROR(SUMPRODUCT((T_Standards[מחלקה]=$A10)*T_Standards[תקן])*7,0)</f>
        <v>0</v>
      </c>
      <c r="L10" s="44" t="n">
        <f aca="false">IFERROR(COUNTIFS(T_Assign[תאריך],"&gt;="&amp;הגדרות!$C$3+21,T_Assign[תאריך],"&lt;="&amp;הגדרות!$C$3+27,T_Assign[מחלקה],$A10),0)</f>
        <v>0</v>
      </c>
      <c r="M10" s="100" t="n">
        <f aca="false">IFERROR(K10-L10,0)</f>
        <v>0</v>
      </c>
    </row>
    <row r="11" customFormat="false" ht="15" hidden="false" customHeight="true" outlineLevel="0" collapsed="false">
      <c r="A11" s="42" t="str">
        <f aca="false">IFERROR(INDEX(T_Depts[מחלקה],6),"")</f>
        <v/>
      </c>
      <c r="B11" s="71" t="n">
        <f aca="false">IFERROR(SUMPRODUCT((T_Standards[מחלקה]=$A11)*T_Standards[תקן])*7,0)</f>
        <v>0</v>
      </c>
      <c r="C11" s="50" t="n">
        <f aca="false">IFERROR(COUNTIFS(T_Assign[תאריך],"&gt;="&amp;הגדרות!$C$3+0,T_Assign[תאריך],"&lt;="&amp;הגדרות!$C$3+6,T_Assign[מחלקה],$A11),0)</f>
        <v>0</v>
      </c>
      <c r="D11" s="103" t="n">
        <f aca="false">IFERROR(B11-C11,0)</f>
        <v>0</v>
      </c>
      <c r="E11" s="71" t="n">
        <f aca="false">IFERROR(SUMPRODUCT((T_Standards[מחלקה]=$A11)*T_Standards[תקן])*7,0)</f>
        <v>0</v>
      </c>
      <c r="F11" s="50" t="n">
        <f aca="false">IFERROR(COUNTIFS(T_Assign[תאריך],"&gt;="&amp;הגדרות!$C$3+7,T_Assign[תאריך],"&lt;="&amp;הגדרות!$C$3+13,T_Assign[מחלקה],$A11),0)</f>
        <v>0</v>
      </c>
      <c r="G11" s="103" t="n">
        <f aca="false">IFERROR(E11-F11,0)</f>
        <v>0</v>
      </c>
      <c r="H11" s="71" t="n">
        <f aca="false">IFERROR(SUMPRODUCT((T_Standards[מחלקה]=$A11)*T_Standards[תקן])*7,0)</f>
        <v>0</v>
      </c>
      <c r="I11" s="50" t="n">
        <f aca="false">IFERROR(COUNTIFS(T_Assign[תאריך],"&gt;="&amp;הגדרות!$C$3+14,T_Assign[תאריך],"&lt;="&amp;הגדרות!$C$3+20,T_Assign[מחלקה],$A11),0)</f>
        <v>0</v>
      </c>
      <c r="J11" s="103" t="n">
        <f aca="false">IFERROR(H11-I11,0)</f>
        <v>0</v>
      </c>
      <c r="K11" s="71" t="n">
        <f aca="false">IFERROR(SUMPRODUCT((T_Standards[מחלקה]=$A11)*T_Standards[תקן])*7,0)</f>
        <v>0</v>
      </c>
      <c r="L11" s="50" t="n">
        <f aca="false">IFERROR(COUNTIFS(T_Assign[תאריך],"&gt;="&amp;הגדרות!$C$3+21,T_Assign[תאריך],"&lt;="&amp;הגדרות!$C$3+27,T_Assign[מחלקה],$A11),0)</f>
        <v>0</v>
      </c>
      <c r="M11" s="103" t="n">
        <f aca="false">IFERROR(K11-L11,0)</f>
        <v>0</v>
      </c>
    </row>
    <row r="12" customFormat="false" ht="15" hidden="false" customHeight="true" outlineLevel="0" collapsed="false">
      <c r="A12" s="42" t="str">
        <f aca="false">IFERROR(INDEX(T_Depts[מחלקה],7),"")</f>
        <v/>
      </c>
      <c r="B12" s="69" t="n">
        <f aca="false">IFERROR(SUMPRODUCT((T_Standards[מחלקה]=$A12)*T_Standards[תקן])*7,0)</f>
        <v>0</v>
      </c>
      <c r="C12" s="44" t="n">
        <f aca="false">IFERROR(COUNTIFS(T_Assign[תאריך],"&gt;="&amp;הגדרות!$C$3+0,T_Assign[תאריך],"&lt;="&amp;הגדרות!$C$3+6,T_Assign[מחלקה],$A12),0)</f>
        <v>0</v>
      </c>
      <c r="D12" s="100" t="n">
        <f aca="false">IFERROR(B12-C12,0)</f>
        <v>0</v>
      </c>
      <c r="E12" s="69" t="n">
        <f aca="false">IFERROR(SUMPRODUCT((T_Standards[מחלקה]=$A12)*T_Standards[תקן])*7,0)</f>
        <v>0</v>
      </c>
      <c r="F12" s="44" t="n">
        <f aca="false">IFERROR(COUNTIFS(T_Assign[תאריך],"&gt;="&amp;הגדרות!$C$3+7,T_Assign[תאריך],"&lt;="&amp;הגדרות!$C$3+13,T_Assign[מחלקה],$A12),0)</f>
        <v>0</v>
      </c>
      <c r="G12" s="100" t="n">
        <f aca="false">IFERROR(E12-F12,0)</f>
        <v>0</v>
      </c>
      <c r="H12" s="69" t="n">
        <f aca="false">IFERROR(SUMPRODUCT((T_Standards[מחלקה]=$A12)*T_Standards[תקן])*7,0)</f>
        <v>0</v>
      </c>
      <c r="I12" s="44" t="n">
        <f aca="false">IFERROR(COUNTIFS(T_Assign[תאריך],"&gt;="&amp;הגדרות!$C$3+14,T_Assign[תאריך],"&lt;="&amp;הגדרות!$C$3+20,T_Assign[מחלקה],$A12),0)</f>
        <v>0</v>
      </c>
      <c r="J12" s="100" t="n">
        <f aca="false">IFERROR(H12-I12,0)</f>
        <v>0</v>
      </c>
      <c r="K12" s="69" t="n">
        <f aca="false">IFERROR(SUMPRODUCT((T_Standards[מחלקה]=$A12)*T_Standards[תקן])*7,0)</f>
        <v>0</v>
      </c>
      <c r="L12" s="44" t="n">
        <f aca="false">IFERROR(COUNTIFS(T_Assign[תאריך],"&gt;="&amp;הגדרות!$C$3+21,T_Assign[תאריך],"&lt;="&amp;הגדרות!$C$3+27,T_Assign[מחלקה],$A12),0)</f>
        <v>0</v>
      </c>
      <c r="M12" s="100" t="n">
        <f aca="false">IFERROR(K12-L12,0)</f>
        <v>0</v>
      </c>
    </row>
    <row r="13" customFormat="false" ht="15" hidden="false" customHeight="true" outlineLevel="0" collapsed="false">
      <c r="A13" s="42" t="str">
        <f aca="false">IFERROR(INDEX(T_Depts[מחלקה],8),"")</f>
        <v/>
      </c>
      <c r="B13" s="71" t="n">
        <f aca="false">IFERROR(SUMPRODUCT((T_Standards[מחלקה]=$A13)*T_Standards[תקן])*7,0)</f>
        <v>0</v>
      </c>
      <c r="C13" s="50" t="n">
        <f aca="false">IFERROR(COUNTIFS(T_Assign[תאריך],"&gt;="&amp;הגדרות!$C$3+0,T_Assign[תאריך],"&lt;="&amp;הגדרות!$C$3+6,T_Assign[מחלקה],$A13),0)</f>
        <v>0</v>
      </c>
      <c r="D13" s="103" t="n">
        <f aca="false">IFERROR(B13-C13,0)</f>
        <v>0</v>
      </c>
      <c r="E13" s="71" t="n">
        <f aca="false">IFERROR(SUMPRODUCT((T_Standards[מחלקה]=$A13)*T_Standards[תקן])*7,0)</f>
        <v>0</v>
      </c>
      <c r="F13" s="50" t="n">
        <f aca="false">IFERROR(COUNTIFS(T_Assign[תאריך],"&gt;="&amp;הגדרות!$C$3+7,T_Assign[תאריך],"&lt;="&amp;הגדרות!$C$3+13,T_Assign[מחלקה],$A13),0)</f>
        <v>0</v>
      </c>
      <c r="G13" s="103" t="n">
        <f aca="false">IFERROR(E13-F13,0)</f>
        <v>0</v>
      </c>
      <c r="H13" s="71" t="n">
        <f aca="false">IFERROR(SUMPRODUCT((T_Standards[מחלקה]=$A13)*T_Standards[תקן])*7,0)</f>
        <v>0</v>
      </c>
      <c r="I13" s="50" t="n">
        <f aca="false">IFERROR(COUNTIFS(T_Assign[תאריך],"&gt;="&amp;הגדרות!$C$3+14,T_Assign[תאריך],"&lt;="&amp;הגדרות!$C$3+20,T_Assign[מחלקה],$A13),0)</f>
        <v>0</v>
      </c>
      <c r="J13" s="103" t="n">
        <f aca="false">IFERROR(H13-I13,0)</f>
        <v>0</v>
      </c>
      <c r="K13" s="71" t="n">
        <f aca="false">IFERROR(SUMPRODUCT((T_Standards[מחלקה]=$A13)*T_Standards[תקן])*7,0)</f>
        <v>0</v>
      </c>
      <c r="L13" s="50" t="n">
        <f aca="false">IFERROR(COUNTIFS(T_Assign[תאריך],"&gt;="&amp;הגדרות!$C$3+21,T_Assign[תאריך],"&lt;="&amp;הגדרות!$C$3+27,T_Assign[מחלקה],$A13),0)</f>
        <v>0</v>
      </c>
      <c r="M13" s="103" t="n">
        <f aca="false">IFERROR(K13-L13,0)</f>
        <v>0</v>
      </c>
    </row>
    <row r="14" customFormat="false" ht="15" hidden="false" customHeight="true" outlineLevel="0" collapsed="false">
      <c r="A14" s="42" t="str">
        <f aca="false">IFERROR(INDEX(T_Depts[מחלקה],9),"")</f>
        <v/>
      </c>
      <c r="B14" s="69" t="n">
        <f aca="false">IFERROR(SUMPRODUCT((T_Standards[מחלקה]=$A14)*T_Standards[תקן])*7,0)</f>
        <v>0</v>
      </c>
      <c r="C14" s="44" t="n">
        <f aca="false">IFERROR(COUNTIFS(T_Assign[תאריך],"&gt;="&amp;הגדרות!$C$3+0,T_Assign[תאריך],"&lt;="&amp;הגדרות!$C$3+6,T_Assign[מחלקה],$A14),0)</f>
        <v>0</v>
      </c>
      <c r="D14" s="100" t="n">
        <f aca="false">IFERROR(B14-C14,0)</f>
        <v>0</v>
      </c>
      <c r="E14" s="69" t="n">
        <f aca="false">IFERROR(SUMPRODUCT((T_Standards[מחלקה]=$A14)*T_Standards[תקן])*7,0)</f>
        <v>0</v>
      </c>
      <c r="F14" s="44" t="n">
        <f aca="false">IFERROR(COUNTIFS(T_Assign[תאריך],"&gt;="&amp;הגדרות!$C$3+7,T_Assign[תאריך],"&lt;="&amp;הגדרות!$C$3+13,T_Assign[מחלקה],$A14),0)</f>
        <v>0</v>
      </c>
      <c r="G14" s="100" t="n">
        <f aca="false">IFERROR(E14-F14,0)</f>
        <v>0</v>
      </c>
      <c r="H14" s="69" t="n">
        <f aca="false">IFERROR(SUMPRODUCT((T_Standards[מחלקה]=$A14)*T_Standards[תקן])*7,0)</f>
        <v>0</v>
      </c>
      <c r="I14" s="44" t="n">
        <f aca="false">IFERROR(COUNTIFS(T_Assign[תאריך],"&gt;="&amp;הגדרות!$C$3+14,T_Assign[תאריך],"&lt;="&amp;הגדרות!$C$3+20,T_Assign[מחלקה],$A14),0)</f>
        <v>0</v>
      </c>
      <c r="J14" s="100" t="n">
        <f aca="false">IFERROR(H14-I14,0)</f>
        <v>0</v>
      </c>
      <c r="K14" s="69" t="n">
        <f aca="false">IFERROR(SUMPRODUCT((T_Standards[מחלקה]=$A14)*T_Standards[תקן])*7,0)</f>
        <v>0</v>
      </c>
      <c r="L14" s="44" t="n">
        <f aca="false">IFERROR(COUNTIFS(T_Assign[תאריך],"&gt;="&amp;הגדרות!$C$3+21,T_Assign[תאריך],"&lt;="&amp;הגדרות!$C$3+27,T_Assign[מחלקה],$A14),0)</f>
        <v>0</v>
      </c>
      <c r="M14" s="100" t="n">
        <f aca="false">IFERROR(K14-L14,0)</f>
        <v>0</v>
      </c>
    </row>
    <row r="15" customFormat="false" ht="15" hidden="false" customHeight="true" outlineLevel="0" collapsed="false">
      <c r="A15" s="42" t="str">
        <f aca="false">IFERROR(INDEX(T_Depts[מחלקה],10),"")</f>
        <v/>
      </c>
      <c r="B15" s="71" t="n">
        <f aca="false">IFERROR(SUMPRODUCT((T_Standards[מחלקה]=$A15)*T_Standards[תקן])*7,0)</f>
        <v>0</v>
      </c>
      <c r="C15" s="50" t="n">
        <f aca="false">IFERROR(COUNTIFS(T_Assign[תאריך],"&gt;="&amp;הגדרות!$C$3+0,T_Assign[תאריך],"&lt;="&amp;הגדרות!$C$3+6,T_Assign[מחלקה],$A15),0)</f>
        <v>0</v>
      </c>
      <c r="D15" s="103" t="n">
        <f aca="false">IFERROR(B15-C15,0)</f>
        <v>0</v>
      </c>
      <c r="E15" s="71" t="n">
        <f aca="false">IFERROR(SUMPRODUCT((T_Standards[מחלקה]=$A15)*T_Standards[תקן])*7,0)</f>
        <v>0</v>
      </c>
      <c r="F15" s="50" t="n">
        <f aca="false">IFERROR(COUNTIFS(T_Assign[תאריך],"&gt;="&amp;הגדרות!$C$3+7,T_Assign[תאריך],"&lt;="&amp;הגדרות!$C$3+13,T_Assign[מחלקה],$A15),0)</f>
        <v>0</v>
      </c>
      <c r="G15" s="103" t="n">
        <f aca="false">IFERROR(E15-F15,0)</f>
        <v>0</v>
      </c>
      <c r="H15" s="71" t="n">
        <f aca="false">IFERROR(SUMPRODUCT((T_Standards[מחלקה]=$A15)*T_Standards[תקן])*7,0)</f>
        <v>0</v>
      </c>
      <c r="I15" s="50" t="n">
        <f aca="false">IFERROR(COUNTIFS(T_Assign[תאריך],"&gt;="&amp;הגדרות!$C$3+14,T_Assign[תאריך],"&lt;="&amp;הגדרות!$C$3+20,T_Assign[מחלקה],$A15),0)</f>
        <v>0</v>
      </c>
      <c r="J15" s="103" t="n">
        <f aca="false">IFERROR(H15-I15,0)</f>
        <v>0</v>
      </c>
      <c r="K15" s="71" t="n">
        <f aca="false">IFERROR(SUMPRODUCT((T_Standards[מחלקה]=$A15)*T_Standards[תקן])*7,0)</f>
        <v>0</v>
      </c>
      <c r="L15" s="50" t="n">
        <f aca="false">IFERROR(COUNTIFS(T_Assign[תאריך],"&gt;="&amp;הגדרות!$C$3+21,T_Assign[תאריך],"&lt;="&amp;הגדרות!$C$3+27,T_Assign[מחלקה],$A15),0)</f>
        <v>0</v>
      </c>
      <c r="M15" s="103" t="n">
        <f aca="false">IFERROR(K15-L15,0)</f>
        <v>0</v>
      </c>
    </row>
    <row r="16" customFormat="false" ht="15" hidden="false" customHeight="true" outlineLevel="0" collapsed="false">
      <c r="A16" s="42" t="str">
        <f aca="false">IFERROR(INDEX(T_Depts[מחלקה],11),"")</f>
        <v/>
      </c>
      <c r="B16" s="69" t="n">
        <f aca="false">IFERROR(SUMPRODUCT((T_Standards[מחלקה]=$A16)*T_Standards[תקן])*7,0)</f>
        <v>0</v>
      </c>
      <c r="C16" s="44" t="n">
        <f aca="false">IFERROR(COUNTIFS(T_Assign[תאריך],"&gt;="&amp;הגדרות!$C$3+0,T_Assign[תאריך],"&lt;="&amp;הגדרות!$C$3+6,T_Assign[מחלקה],$A16),0)</f>
        <v>0</v>
      </c>
      <c r="D16" s="100" t="n">
        <f aca="false">IFERROR(B16-C16,0)</f>
        <v>0</v>
      </c>
      <c r="E16" s="69" t="n">
        <f aca="false">IFERROR(SUMPRODUCT((T_Standards[מחלקה]=$A16)*T_Standards[תקן])*7,0)</f>
        <v>0</v>
      </c>
      <c r="F16" s="44" t="n">
        <f aca="false">IFERROR(COUNTIFS(T_Assign[תאריך],"&gt;="&amp;הגדרות!$C$3+7,T_Assign[תאריך],"&lt;="&amp;הגדרות!$C$3+13,T_Assign[מחלקה],$A16),0)</f>
        <v>0</v>
      </c>
      <c r="G16" s="100" t="n">
        <f aca="false">IFERROR(E16-F16,0)</f>
        <v>0</v>
      </c>
      <c r="H16" s="69" t="n">
        <f aca="false">IFERROR(SUMPRODUCT((T_Standards[מחלקה]=$A16)*T_Standards[תקן])*7,0)</f>
        <v>0</v>
      </c>
      <c r="I16" s="44" t="n">
        <f aca="false">IFERROR(COUNTIFS(T_Assign[תאריך],"&gt;="&amp;הגדרות!$C$3+14,T_Assign[תאריך],"&lt;="&amp;הגדרות!$C$3+20,T_Assign[מחלקה],$A16),0)</f>
        <v>0</v>
      </c>
      <c r="J16" s="100" t="n">
        <f aca="false">IFERROR(H16-I16,0)</f>
        <v>0</v>
      </c>
      <c r="K16" s="69" t="n">
        <f aca="false">IFERROR(SUMPRODUCT((T_Standards[מחלקה]=$A16)*T_Standards[תקן])*7,0)</f>
        <v>0</v>
      </c>
      <c r="L16" s="44" t="n">
        <f aca="false">IFERROR(COUNTIFS(T_Assign[תאריך],"&gt;="&amp;הגדרות!$C$3+21,T_Assign[תאריך],"&lt;="&amp;הגדרות!$C$3+27,T_Assign[מחלקה],$A16),0)</f>
        <v>0</v>
      </c>
      <c r="M16" s="100" t="n">
        <f aca="false">IFERROR(K16-L16,0)</f>
        <v>0</v>
      </c>
    </row>
    <row r="17" customFormat="false" ht="15" hidden="false" customHeight="true" outlineLevel="0" collapsed="false">
      <c r="A17" s="42" t="str">
        <f aca="false">IFERROR(INDEX(T_Depts[מחלקה],12),"")</f>
        <v/>
      </c>
      <c r="B17" s="71" t="n">
        <f aca="false">IFERROR(SUMPRODUCT((T_Standards[מחלקה]=$A17)*T_Standards[תקן])*7,0)</f>
        <v>0</v>
      </c>
      <c r="C17" s="50" t="n">
        <f aca="false">IFERROR(COUNTIFS(T_Assign[תאריך],"&gt;="&amp;הגדרות!$C$3+0,T_Assign[תאריך],"&lt;="&amp;הגדרות!$C$3+6,T_Assign[מחלקה],$A17),0)</f>
        <v>0</v>
      </c>
      <c r="D17" s="103" t="n">
        <f aca="false">IFERROR(B17-C17,0)</f>
        <v>0</v>
      </c>
      <c r="E17" s="71" t="n">
        <f aca="false">IFERROR(SUMPRODUCT((T_Standards[מחלקה]=$A17)*T_Standards[תקן])*7,0)</f>
        <v>0</v>
      </c>
      <c r="F17" s="50" t="n">
        <f aca="false">IFERROR(COUNTIFS(T_Assign[תאריך],"&gt;="&amp;הגדרות!$C$3+7,T_Assign[תאריך],"&lt;="&amp;הגדרות!$C$3+13,T_Assign[מחלקה],$A17),0)</f>
        <v>0</v>
      </c>
      <c r="G17" s="103" t="n">
        <f aca="false">IFERROR(E17-F17,0)</f>
        <v>0</v>
      </c>
      <c r="H17" s="71" t="n">
        <f aca="false">IFERROR(SUMPRODUCT((T_Standards[מחלקה]=$A17)*T_Standards[תקן])*7,0)</f>
        <v>0</v>
      </c>
      <c r="I17" s="50" t="n">
        <f aca="false">IFERROR(COUNTIFS(T_Assign[תאריך],"&gt;="&amp;הגדרות!$C$3+14,T_Assign[תאריך],"&lt;="&amp;הגדרות!$C$3+20,T_Assign[מחלקה],$A17),0)</f>
        <v>0</v>
      </c>
      <c r="J17" s="103" t="n">
        <f aca="false">IFERROR(H17-I17,0)</f>
        <v>0</v>
      </c>
      <c r="K17" s="71" t="n">
        <f aca="false">IFERROR(SUMPRODUCT((T_Standards[מחלקה]=$A17)*T_Standards[תקן])*7,0)</f>
        <v>0</v>
      </c>
      <c r="L17" s="50" t="n">
        <f aca="false">IFERROR(COUNTIFS(T_Assign[תאריך],"&gt;="&amp;הגדרות!$C$3+21,T_Assign[תאריך],"&lt;="&amp;הגדרות!$C$3+27,T_Assign[מחלקה],$A17),0)</f>
        <v>0</v>
      </c>
      <c r="M17" s="103" t="n">
        <f aca="false">IFERROR(K17-L17,0)</f>
        <v>0</v>
      </c>
    </row>
    <row r="18" customFormat="false" ht="15" hidden="false" customHeight="true" outlineLevel="0" collapsed="false">
      <c r="A18" s="42" t="str">
        <f aca="false">IFERROR(INDEX(T_Depts[מחלקה],13),"")</f>
        <v/>
      </c>
      <c r="B18" s="69" t="n">
        <f aca="false">IFERROR(SUMPRODUCT((T_Standards[מחלקה]=$A18)*T_Standards[תקן])*7,0)</f>
        <v>0</v>
      </c>
      <c r="C18" s="44" t="n">
        <f aca="false">IFERROR(COUNTIFS(T_Assign[תאריך],"&gt;="&amp;הגדרות!$C$3+0,T_Assign[תאריך],"&lt;="&amp;הגדרות!$C$3+6,T_Assign[מחלקה],$A18),0)</f>
        <v>0</v>
      </c>
      <c r="D18" s="100" t="n">
        <f aca="false">IFERROR(B18-C18,0)</f>
        <v>0</v>
      </c>
      <c r="E18" s="69" t="n">
        <f aca="false">IFERROR(SUMPRODUCT((T_Standards[מחלקה]=$A18)*T_Standards[תקן])*7,0)</f>
        <v>0</v>
      </c>
      <c r="F18" s="44" t="n">
        <f aca="false">IFERROR(COUNTIFS(T_Assign[תאריך],"&gt;="&amp;הגדרות!$C$3+7,T_Assign[תאריך],"&lt;="&amp;הגדרות!$C$3+13,T_Assign[מחלקה],$A18),0)</f>
        <v>0</v>
      </c>
      <c r="G18" s="100" t="n">
        <f aca="false">IFERROR(E18-F18,0)</f>
        <v>0</v>
      </c>
      <c r="H18" s="69" t="n">
        <f aca="false">IFERROR(SUMPRODUCT((T_Standards[מחלקה]=$A18)*T_Standards[תקן])*7,0)</f>
        <v>0</v>
      </c>
      <c r="I18" s="44" t="n">
        <f aca="false">IFERROR(COUNTIFS(T_Assign[תאריך],"&gt;="&amp;הגדרות!$C$3+14,T_Assign[תאריך],"&lt;="&amp;הגדרות!$C$3+20,T_Assign[מחלקה],$A18),0)</f>
        <v>0</v>
      </c>
      <c r="J18" s="100" t="n">
        <f aca="false">IFERROR(H18-I18,0)</f>
        <v>0</v>
      </c>
      <c r="K18" s="69" t="n">
        <f aca="false">IFERROR(SUMPRODUCT((T_Standards[מחלקה]=$A18)*T_Standards[תקן])*7,0)</f>
        <v>0</v>
      </c>
      <c r="L18" s="44" t="n">
        <f aca="false">IFERROR(COUNTIFS(T_Assign[תאריך],"&gt;="&amp;הגדרות!$C$3+21,T_Assign[תאריך],"&lt;="&amp;הגדרות!$C$3+27,T_Assign[מחלקה],$A18),0)</f>
        <v>0</v>
      </c>
      <c r="M18" s="100" t="n">
        <f aca="false">IFERROR(K18-L18,0)</f>
        <v>0</v>
      </c>
    </row>
    <row r="19" customFormat="false" ht="15" hidden="false" customHeight="true" outlineLevel="0" collapsed="false">
      <c r="A19" s="42" t="str">
        <f aca="false">IFERROR(INDEX(T_Depts[מחלקה],14),"")</f>
        <v/>
      </c>
      <c r="B19" s="71" t="n">
        <f aca="false">IFERROR(SUMPRODUCT((T_Standards[מחלקה]=$A19)*T_Standards[תקן])*7,0)</f>
        <v>0</v>
      </c>
      <c r="C19" s="50" t="n">
        <f aca="false">IFERROR(COUNTIFS(T_Assign[תאריך],"&gt;="&amp;הגדרות!$C$3+0,T_Assign[תאריך],"&lt;="&amp;הגדרות!$C$3+6,T_Assign[מחלקה],$A19),0)</f>
        <v>0</v>
      </c>
      <c r="D19" s="103" t="n">
        <f aca="false">IFERROR(B19-C19,0)</f>
        <v>0</v>
      </c>
      <c r="E19" s="71" t="n">
        <f aca="false">IFERROR(SUMPRODUCT((T_Standards[מחלקה]=$A19)*T_Standards[תקן])*7,0)</f>
        <v>0</v>
      </c>
      <c r="F19" s="50" t="n">
        <f aca="false">IFERROR(COUNTIFS(T_Assign[תאריך],"&gt;="&amp;הגדרות!$C$3+7,T_Assign[תאריך],"&lt;="&amp;הגדרות!$C$3+13,T_Assign[מחלקה],$A19),0)</f>
        <v>0</v>
      </c>
      <c r="G19" s="103" t="n">
        <f aca="false">IFERROR(E19-F19,0)</f>
        <v>0</v>
      </c>
      <c r="H19" s="71" t="n">
        <f aca="false">IFERROR(SUMPRODUCT((T_Standards[מחלקה]=$A19)*T_Standards[תקן])*7,0)</f>
        <v>0</v>
      </c>
      <c r="I19" s="50" t="n">
        <f aca="false">IFERROR(COUNTIFS(T_Assign[תאריך],"&gt;="&amp;הגדרות!$C$3+14,T_Assign[תאריך],"&lt;="&amp;הגדרות!$C$3+20,T_Assign[מחלקה],$A19),0)</f>
        <v>0</v>
      </c>
      <c r="J19" s="103" t="n">
        <f aca="false">IFERROR(H19-I19,0)</f>
        <v>0</v>
      </c>
      <c r="K19" s="71" t="n">
        <f aca="false">IFERROR(SUMPRODUCT((T_Standards[מחלקה]=$A19)*T_Standards[תקן])*7,0)</f>
        <v>0</v>
      </c>
      <c r="L19" s="50" t="n">
        <f aca="false">IFERROR(COUNTIFS(T_Assign[תאריך],"&gt;="&amp;הגדרות!$C$3+21,T_Assign[תאריך],"&lt;="&amp;הגדרות!$C$3+27,T_Assign[מחלקה],$A19),0)</f>
        <v>0</v>
      </c>
      <c r="M19" s="103" t="n">
        <f aca="false">IFERROR(K19-L19,0)</f>
        <v>0</v>
      </c>
    </row>
    <row r="20" customFormat="false" ht="15" hidden="false" customHeight="true" outlineLevel="0" collapsed="false">
      <c r="A20" s="42" t="str">
        <f aca="false">IFERROR(INDEX(T_Depts[מחלקה],15),"")</f>
        <v/>
      </c>
      <c r="B20" s="69" t="n">
        <f aca="false">IFERROR(SUMPRODUCT((T_Standards[מחלקה]=$A20)*T_Standards[תקן])*7,0)</f>
        <v>0</v>
      </c>
      <c r="C20" s="44" t="n">
        <f aca="false">IFERROR(COUNTIFS(T_Assign[תאריך],"&gt;="&amp;הגדרות!$C$3+0,T_Assign[תאריך],"&lt;="&amp;הגדרות!$C$3+6,T_Assign[מחלקה],$A20),0)</f>
        <v>0</v>
      </c>
      <c r="D20" s="100" t="n">
        <f aca="false">IFERROR(B20-C20,0)</f>
        <v>0</v>
      </c>
      <c r="E20" s="69" t="n">
        <f aca="false">IFERROR(SUMPRODUCT((T_Standards[מחלקה]=$A20)*T_Standards[תקן])*7,0)</f>
        <v>0</v>
      </c>
      <c r="F20" s="44" t="n">
        <f aca="false">IFERROR(COUNTIFS(T_Assign[תאריך],"&gt;="&amp;הגדרות!$C$3+7,T_Assign[תאריך],"&lt;="&amp;הגדרות!$C$3+13,T_Assign[מחלקה],$A20),0)</f>
        <v>0</v>
      </c>
      <c r="G20" s="100" t="n">
        <f aca="false">IFERROR(E20-F20,0)</f>
        <v>0</v>
      </c>
      <c r="H20" s="69" t="n">
        <f aca="false">IFERROR(SUMPRODUCT((T_Standards[מחלקה]=$A20)*T_Standards[תקן])*7,0)</f>
        <v>0</v>
      </c>
      <c r="I20" s="44" t="n">
        <f aca="false">IFERROR(COUNTIFS(T_Assign[תאריך],"&gt;="&amp;הגדרות!$C$3+14,T_Assign[תאריך],"&lt;="&amp;הגדרות!$C$3+20,T_Assign[מחלקה],$A20),0)</f>
        <v>0</v>
      </c>
      <c r="J20" s="100" t="n">
        <f aca="false">IFERROR(H20-I20,0)</f>
        <v>0</v>
      </c>
      <c r="K20" s="69" t="n">
        <f aca="false">IFERROR(SUMPRODUCT((T_Standards[מחלקה]=$A20)*T_Standards[תקן])*7,0)</f>
        <v>0</v>
      </c>
      <c r="L20" s="44" t="n">
        <f aca="false">IFERROR(COUNTIFS(T_Assign[תאריך],"&gt;="&amp;הגדרות!$C$3+21,T_Assign[תאריך],"&lt;="&amp;הגדרות!$C$3+27,T_Assign[מחלקה],$A20),0)</f>
        <v>0</v>
      </c>
      <c r="M20" s="100" t="n">
        <f aca="false">IFERROR(K20-L20,0)</f>
        <v>0</v>
      </c>
    </row>
    <row r="21" customFormat="false" ht="15" hidden="false" customHeight="true" outlineLevel="0" collapsed="false">
      <c r="A21" s="19" t="s">
        <v>59</v>
      </c>
      <c r="B21" s="53" t="n">
        <f aca="false">IFERROR(SUM(B6:B20),0)</f>
        <v>0</v>
      </c>
      <c r="C21" s="53" t="n">
        <f aca="false">IFERROR(SUM(C6:C20),0)</f>
        <v>0</v>
      </c>
      <c r="D21" s="53" t="n">
        <f aca="false">IFERROR(SUM(D6:D20),0)</f>
        <v>0</v>
      </c>
      <c r="E21" s="53" t="n">
        <f aca="false">IFERROR(SUM(E6:E20),0)</f>
        <v>0</v>
      </c>
      <c r="F21" s="53" t="n">
        <f aca="false">IFERROR(SUM(F6:F20),0)</f>
        <v>0</v>
      </c>
      <c r="G21" s="53" t="n">
        <f aca="false">IFERROR(SUM(G6:G20),0)</f>
        <v>0</v>
      </c>
      <c r="H21" s="53" t="n">
        <f aca="false">IFERROR(SUM(H6:H20),0)</f>
        <v>0</v>
      </c>
      <c r="I21" s="53" t="n">
        <f aca="false">IFERROR(SUM(I6:I20),0)</f>
        <v>0</v>
      </c>
      <c r="J21" s="53" t="n">
        <f aca="false">IFERROR(SUM(J6:J20),0)</f>
        <v>0</v>
      </c>
      <c r="K21" s="53" t="n">
        <f aca="false">IFERROR(SUM(K6:K20),0)</f>
        <v>0</v>
      </c>
      <c r="L21" s="53" t="n">
        <f aca="false">IFERROR(SUM(L6:L20),0)</f>
        <v>0</v>
      </c>
      <c r="M21" s="53" t="n">
        <f aca="false">IFERROR(SUM(M6:M20),0)</f>
        <v>0</v>
      </c>
    </row>
    <row r="23" customFormat="false" ht="24" hidden="false" customHeight="true" outlineLevel="0" collapsed="false">
      <c r="A23" s="91" t="s">
        <v>113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customFormat="false" ht="18" hidden="false" customHeight="true" outlineLevel="0" collapsed="false">
      <c r="A24" s="128" t="s">
        <v>114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</row>
    <row r="25" customFormat="false" ht="18" hidden="false" customHeight="true" outlineLevel="0" collapsed="false">
      <c r="A25" s="128" t="s">
        <v>115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</row>
    <row r="26" customFormat="false" ht="18" hidden="false" customHeight="true" outlineLevel="0" collapsed="false">
      <c r="A26" s="129" t="s">
        <v>116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</row>
    <row r="27" customFormat="false" ht="18" hidden="false" customHeight="true" outlineLevel="0" collapsed="false">
      <c r="A27" s="128" t="s">
        <v>117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</row>
  </sheetData>
  <mergeCells count="11">
    <mergeCell ref="A1:L1"/>
    <mergeCell ref="A2:L2"/>
    <mergeCell ref="B4:D4"/>
    <mergeCell ref="E4:G4"/>
    <mergeCell ref="H4:J4"/>
    <mergeCell ref="K4:M4"/>
    <mergeCell ref="A23:L23"/>
    <mergeCell ref="A24:L24"/>
    <mergeCell ref="A25:L25"/>
    <mergeCell ref="A26:L26"/>
    <mergeCell ref="A27:L27"/>
  </mergeCells>
  <conditionalFormatting sqref="D6">
    <cfRule type="expression" priority="2" aboveAverage="0" equalAverage="0" bottom="0" percent="0" rank="0" text="" dxfId="12">
      <formula>D6&gt;0</formula>
    </cfRule>
    <cfRule type="expression" priority="3" aboveAverage="0" equalAverage="0" bottom="0" percent="0" rank="0" text="" dxfId="13">
      <formula>D6&lt;0</formula>
    </cfRule>
  </conditionalFormatting>
  <conditionalFormatting sqref="G6">
    <cfRule type="expression" priority="4" aboveAverage="0" equalAverage="0" bottom="0" percent="0" rank="0" text="" dxfId="12">
      <formula>G6&gt;0</formula>
    </cfRule>
    <cfRule type="expression" priority="5" aboveAverage="0" equalAverage="0" bottom="0" percent="0" rank="0" text="" dxfId="13">
      <formula>G6&lt;0</formula>
    </cfRule>
  </conditionalFormatting>
  <conditionalFormatting sqref="J6">
    <cfRule type="expression" priority="6" aboveAverage="0" equalAverage="0" bottom="0" percent="0" rank="0" text="" dxfId="12">
      <formula>J6&gt;0</formula>
    </cfRule>
    <cfRule type="expression" priority="7" aboveAverage="0" equalAverage="0" bottom="0" percent="0" rank="0" text="" dxfId="13">
      <formula>J6&lt;0</formula>
    </cfRule>
  </conditionalFormatting>
  <conditionalFormatting sqref="M6">
    <cfRule type="expression" priority="8" aboveAverage="0" equalAverage="0" bottom="0" percent="0" rank="0" text="" dxfId="12">
      <formula>M6&gt;0</formula>
    </cfRule>
    <cfRule type="expression" priority="9" aboveAverage="0" equalAverage="0" bottom="0" percent="0" rank="0" text="" dxfId="13">
      <formula>M6&lt;0</formula>
    </cfRule>
  </conditionalFormatting>
  <conditionalFormatting sqref="D7">
    <cfRule type="expression" priority="10" aboveAverage="0" equalAverage="0" bottom="0" percent="0" rank="0" text="" dxfId="12">
      <formula>D7&gt;0</formula>
    </cfRule>
    <cfRule type="expression" priority="11" aboveAverage="0" equalAverage="0" bottom="0" percent="0" rank="0" text="" dxfId="13">
      <formula>D7&lt;0</formula>
    </cfRule>
  </conditionalFormatting>
  <conditionalFormatting sqref="G7">
    <cfRule type="expression" priority="12" aboveAverage="0" equalAverage="0" bottom="0" percent="0" rank="0" text="" dxfId="12">
      <formula>G7&gt;0</formula>
    </cfRule>
    <cfRule type="expression" priority="13" aboveAverage="0" equalAverage="0" bottom="0" percent="0" rank="0" text="" dxfId="13">
      <formula>G7&lt;0</formula>
    </cfRule>
  </conditionalFormatting>
  <conditionalFormatting sqref="J7">
    <cfRule type="expression" priority="14" aboveAverage="0" equalAverage="0" bottom="0" percent="0" rank="0" text="" dxfId="12">
      <formula>J7&gt;0</formula>
    </cfRule>
    <cfRule type="expression" priority="15" aboveAverage="0" equalAverage="0" bottom="0" percent="0" rank="0" text="" dxfId="13">
      <formula>J7&lt;0</formula>
    </cfRule>
  </conditionalFormatting>
  <conditionalFormatting sqref="M7">
    <cfRule type="expression" priority="16" aboveAverage="0" equalAverage="0" bottom="0" percent="0" rank="0" text="" dxfId="12">
      <formula>M7&gt;0</formula>
    </cfRule>
    <cfRule type="expression" priority="17" aboveAverage="0" equalAverage="0" bottom="0" percent="0" rank="0" text="" dxfId="13">
      <formula>M7&lt;0</formula>
    </cfRule>
  </conditionalFormatting>
  <conditionalFormatting sqref="D8">
    <cfRule type="expression" priority="18" aboveAverage="0" equalAverage="0" bottom="0" percent="0" rank="0" text="" dxfId="12">
      <formula>D8&gt;0</formula>
    </cfRule>
    <cfRule type="expression" priority="19" aboveAverage="0" equalAverage="0" bottom="0" percent="0" rank="0" text="" dxfId="13">
      <formula>D8&lt;0</formula>
    </cfRule>
  </conditionalFormatting>
  <conditionalFormatting sqref="G8">
    <cfRule type="expression" priority="20" aboveAverage="0" equalAverage="0" bottom="0" percent="0" rank="0" text="" dxfId="12">
      <formula>G8&gt;0</formula>
    </cfRule>
    <cfRule type="expression" priority="21" aboveAverage="0" equalAverage="0" bottom="0" percent="0" rank="0" text="" dxfId="13">
      <formula>G8&lt;0</formula>
    </cfRule>
  </conditionalFormatting>
  <conditionalFormatting sqref="J8">
    <cfRule type="expression" priority="22" aboveAverage="0" equalAverage="0" bottom="0" percent="0" rank="0" text="" dxfId="12">
      <formula>J8&gt;0</formula>
    </cfRule>
    <cfRule type="expression" priority="23" aboveAverage="0" equalAverage="0" bottom="0" percent="0" rank="0" text="" dxfId="13">
      <formula>J8&lt;0</formula>
    </cfRule>
  </conditionalFormatting>
  <conditionalFormatting sqref="M8">
    <cfRule type="expression" priority="24" aboveAverage="0" equalAverage="0" bottom="0" percent="0" rank="0" text="" dxfId="12">
      <formula>M8&gt;0</formula>
    </cfRule>
    <cfRule type="expression" priority="25" aboveAverage="0" equalAverage="0" bottom="0" percent="0" rank="0" text="" dxfId="13">
      <formula>M8&lt;0</formula>
    </cfRule>
  </conditionalFormatting>
  <conditionalFormatting sqref="D9">
    <cfRule type="expression" priority="26" aboveAverage="0" equalAverage="0" bottom="0" percent="0" rank="0" text="" dxfId="12">
      <formula>D9&gt;0</formula>
    </cfRule>
    <cfRule type="expression" priority="27" aboveAverage="0" equalAverage="0" bottom="0" percent="0" rank="0" text="" dxfId="13">
      <formula>D9&lt;0</formula>
    </cfRule>
  </conditionalFormatting>
  <conditionalFormatting sqref="G9">
    <cfRule type="expression" priority="28" aboveAverage="0" equalAverage="0" bottom="0" percent="0" rank="0" text="" dxfId="12">
      <formula>G9&gt;0</formula>
    </cfRule>
    <cfRule type="expression" priority="29" aboveAverage="0" equalAverage="0" bottom="0" percent="0" rank="0" text="" dxfId="13">
      <formula>G9&lt;0</formula>
    </cfRule>
  </conditionalFormatting>
  <conditionalFormatting sqref="J9">
    <cfRule type="expression" priority="30" aboveAverage="0" equalAverage="0" bottom="0" percent="0" rank="0" text="" dxfId="12">
      <formula>J9&gt;0</formula>
    </cfRule>
    <cfRule type="expression" priority="31" aboveAverage="0" equalAverage="0" bottom="0" percent="0" rank="0" text="" dxfId="13">
      <formula>J9&lt;0</formula>
    </cfRule>
  </conditionalFormatting>
  <conditionalFormatting sqref="M9">
    <cfRule type="expression" priority="32" aboveAverage="0" equalAverage="0" bottom="0" percent="0" rank="0" text="" dxfId="12">
      <formula>M9&gt;0</formula>
    </cfRule>
    <cfRule type="expression" priority="33" aboveAverage="0" equalAverage="0" bottom="0" percent="0" rank="0" text="" dxfId="13">
      <formula>M9&lt;0</formula>
    </cfRule>
  </conditionalFormatting>
  <conditionalFormatting sqref="D10">
    <cfRule type="expression" priority="34" aboveAverage="0" equalAverage="0" bottom="0" percent="0" rank="0" text="" dxfId="12">
      <formula>D10&gt;0</formula>
    </cfRule>
    <cfRule type="expression" priority="35" aboveAverage="0" equalAverage="0" bottom="0" percent="0" rank="0" text="" dxfId="13">
      <formula>D10&lt;0</formula>
    </cfRule>
  </conditionalFormatting>
  <conditionalFormatting sqref="G10">
    <cfRule type="expression" priority="36" aboveAverage="0" equalAverage="0" bottom="0" percent="0" rank="0" text="" dxfId="12">
      <formula>G10&gt;0</formula>
    </cfRule>
    <cfRule type="expression" priority="37" aboveAverage="0" equalAverage="0" bottom="0" percent="0" rank="0" text="" dxfId="13">
      <formula>G10&lt;0</formula>
    </cfRule>
  </conditionalFormatting>
  <conditionalFormatting sqref="J10">
    <cfRule type="expression" priority="38" aboveAverage="0" equalAverage="0" bottom="0" percent="0" rank="0" text="" dxfId="12">
      <formula>J10&gt;0</formula>
    </cfRule>
    <cfRule type="expression" priority="39" aboveAverage="0" equalAverage="0" bottom="0" percent="0" rank="0" text="" dxfId="13">
      <formula>J10&lt;0</formula>
    </cfRule>
  </conditionalFormatting>
  <conditionalFormatting sqref="M10">
    <cfRule type="expression" priority="40" aboveAverage="0" equalAverage="0" bottom="0" percent="0" rank="0" text="" dxfId="12">
      <formula>M10&gt;0</formula>
    </cfRule>
    <cfRule type="expression" priority="41" aboveAverage="0" equalAverage="0" bottom="0" percent="0" rank="0" text="" dxfId="13">
      <formula>M10&lt;0</formula>
    </cfRule>
  </conditionalFormatting>
  <conditionalFormatting sqref="D11">
    <cfRule type="expression" priority="42" aboveAverage="0" equalAverage="0" bottom="0" percent="0" rank="0" text="" dxfId="12">
      <formula>D11&gt;0</formula>
    </cfRule>
    <cfRule type="expression" priority="43" aboveAverage="0" equalAverage="0" bottom="0" percent="0" rank="0" text="" dxfId="13">
      <formula>D11&lt;0</formula>
    </cfRule>
  </conditionalFormatting>
  <conditionalFormatting sqref="G11">
    <cfRule type="expression" priority="44" aboveAverage="0" equalAverage="0" bottom="0" percent="0" rank="0" text="" dxfId="12">
      <formula>G11&gt;0</formula>
    </cfRule>
    <cfRule type="expression" priority="45" aboveAverage="0" equalAverage="0" bottom="0" percent="0" rank="0" text="" dxfId="13">
      <formula>G11&lt;0</formula>
    </cfRule>
  </conditionalFormatting>
  <conditionalFormatting sqref="J11">
    <cfRule type="expression" priority="46" aboveAverage="0" equalAverage="0" bottom="0" percent="0" rank="0" text="" dxfId="12">
      <formula>J11&gt;0</formula>
    </cfRule>
    <cfRule type="expression" priority="47" aboveAverage="0" equalAverage="0" bottom="0" percent="0" rank="0" text="" dxfId="13">
      <formula>J11&lt;0</formula>
    </cfRule>
  </conditionalFormatting>
  <conditionalFormatting sqref="M11">
    <cfRule type="expression" priority="48" aboveAverage="0" equalAverage="0" bottom="0" percent="0" rank="0" text="" dxfId="12">
      <formula>M11&gt;0</formula>
    </cfRule>
    <cfRule type="expression" priority="49" aboveAverage="0" equalAverage="0" bottom="0" percent="0" rank="0" text="" dxfId="13">
      <formula>M11&lt;0</formula>
    </cfRule>
  </conditionalFormatting>
  <conditionalFormatting sqref="D12">
    <cfRule type="expression" priority="50" aboveAverage="0" equalAverage="0" bottom="0" percent="0" rank="0" text="" dxfId="12">
      <formula>D12&gt;0</formula>
    </cfRule>
    <cfRule type="expression" priority="51" aboveAverage="0" equalAverage="0" bottom="0" percent="0" rank="0" text="" dxfId="13">
      <formula>D12&lt;0</formula>
    </cfRule>
  </conditionalFormatting>
  <conditionalFormatting sqref="G12">
    <cfRule type="expression" priority="52" aboveAverage="0" equalAverage="0" bottom="0" percent="0" rank="0" text="" dxfId="12">
      <formula>G12&gt;0</formula>
    </cfRule>
    <cfRule type="expression" priority="53" aboveAverage="0" equalAverage="0" bottom="0" percent="0" rank="0" text="" dxfId="13">
      <formula>G12&lt;0</formula>
    </cfRule>
  </conditionalFormatting>
  <conditionalFormatting sqref="J12">
    <cfRule type="expression" priority="54" aboveAverage="0" equalAverage="0" bottom="0" percent="0" rank="0" text="" dxfId="12">
      <formula>J12&gt;0</formula>
    </cfRule>
    <cfRule type="expression" priority="55" aboveAverage="0" equalAverage="0" bottom="0" percent="0" rank="0" text="" dxfId="13">
      <formula>J12&lt;0</formula>
    </cfRule>
  </conditionalFormatting>
  <conditionalFormatting sqref="M12">
    <cfRule type="expression" priority="56" aboveAverage="0" equalAverage="0" bottom="0" percent="0" rank="0" text="" dxfId="12">
      <formula>M12&gt;0</formula>
    </cfRule>
    <cfRule type="expression" priority="57" aboveAverage="0" equalAverage="0" bottom="0" percent="0" rank="0" text="" dxfId="13">
      <formula>M12&lt;0</formula>
    </cfRule>
  </conditionalFormatting>
  <conditionalFormatting sqref="D13">
    <cfRule type="expression" priority="58" aboveAverage="0" equalAverage="0" bottom="0" percent="0" rank="0" text="" dxfId="12">
      <formula>D13&gt;0</formula>
    </cfRule>
    <cfRule type="expression" priority="59" aboveAverage="0" equalAverage="0" bottom="0" percent="0" rank="0" text="" dxfId="13">
      <formula>D13&lt;0</formula>
    </cfRule>
  </conditionalFormatting>
  <conditionalFormatting sqref="G13">
    <cfRule type="expression" priority="60" aboveAverage="0" equalAverage="0" bottom="0" percent="0" rank="0" text="" dxfId="12">
      <formula>G13&gt;0</formula>
    </cfRule>
    <cfRule type="expression" priority="61" aboveAverage="0" equalAverage="0" bottom="0" percent="0" rank="0" text="" dxfId="13">
      <formula>G13&lt;0</formula>
    </cfRule>
  </conditionalFormatting>
  <conditionalFormatting sqref="J13">
    <cfRule type="expression" priority="62" aboveAverage="0" equalAverage="0" bottom="0" percent="0" rank="0" text="" dxfId="12">
      <formula>J13&gt;0</formula>
    </cfRule>
    <cfRule type="expression" priority="63" aboveAverage="0" equalAverage="0" bottom="0" percent="0" rank="0" text="" dxfId="13">
      <formula>J13&lt;0</formula>
    </cfRule>
  </conditionalFormatting>
  <conditionalFormatting sqref="M13">
    <cfRule type="expression" priority="64" aboveAverage="0" equalAverage="0" bottom="0" percent="0" rank="0" text="" dxfId="12">
      <formula>M13&gt;0</formula>
    </cfRule>
    <cfRule type="expression" priority="65" aboveAverage="0" equalAverage="0" bottom="0" percent="0" rank="0" text="" dxfId="13">
      <formula>M13&lt;0</formula>
    </cfRule>
  </conditionalFormatting>
  <conditionalFormatting sqref="D14">
    <cfRule type="expression" priority="66" aboveAverage="0" equalAverage="0" bottom="0" percent="0" rank="0" text="" dxfId="12">
      <formula>D14&gt;0</formula>
    </cfRule>
    <cfRule type="expression" priority="67" aboveAverage="0" equalAverage="0" bottom="0" percent="0" rank="0" text="" dxfId="13">
      <formula>D14&lt;0</formula>
    </cfRule>
  </conditionalFormatting>
  <conditionalFormatting sqref="G14">
    <cfRule type="expression" priority="68" aboveAverage="0" equalAverage="0" bottom="0" percent="0" rank="0" text="" dxfId="12">
      <formula>G14&gt;0</formula>
    </cfRule>
    <cfRule type="expression" priority="69" aboveAverage="0" equalAverage="0" bottom="0" percent="0" rank="0" text="" dxfId="13">
      <formula>G14&lt;0</formula>
    </cfRule>
  </conditionalFormatting>
  <conditionalFormatting sqref="J14">
    <cfRule type="expression" priority="70" aboveAverage="0" equalAverage="0" bottom="0" percent="0" rank="0" text="" dxfId="12">
      <formula>J14&gt;0</formula>
    </cfRule>
    <cfRule type="expression" priority="71" aboveAverage="0" equalAverage="0" bottom="0" percent="0" rank="0" text="" dxfId="13">
      <formula>J14&lt;0</formula>
    </cfRule>
  </conditionalFormatting>
  <conditionalFormatting sqref="M14">
    <cfRule type="expression" priority="72" aboveAverage="0" equalAverage="0" bottom="0" percent="0" rank="0" text="" dxfId="12">
      <formula>M14&gt;0</formula>
    </cfRule>
    <cfRule type="expression" priority="73" aboveAverage="0" equalAverage="0" bottom="0" percent="0" rank="0" text="" dxfId="13">
      <formula>M14&lt;0</formula>
    </cfRule>
  </conditionalFormatting>
  <conditionalFormatting sqref="D15">
    <cfRule type="expression" priority="74" aboveAverage="0" equalAverage="0" bottom="0" percent="0" rank="0" text="" dxfId="12">
      <formula>D15&gt;0</formula>
    </cfRule>
    <cfRule type="expression" priority="75" aboveAverage="0" equalAverage="0" bottom="0" percent="0" rank="0" text="" dxfId="13">
      <formula>D15&lt;0</formula>
    </cfRule>
  </conditionalFormatting>
  <conditionalFormatting sqref="G15">
    <cfRule type="expression" priority="76" aboveAverage="0" equalAverage="0" bottom="0" percent="0" rank="0" text="" dxfId="12">
      <formula>G15&gt;0</formula>
    </cfRule>
    <cfRule type="expression" priority="77" aboveAverage="0" equalAverage="0" bottom="0" percent="0" rank="0" text="" dxfId="13">
      <formula>G15&lt;0</formula>
    </cfRule>
  </conditionalFormatting>
  <conditionalFormatting sqref="J15">
    <cfRule type="expression" priority="78" aboveAverage="0" equalAverage="0" bottom="0" percent="0" rank="0" text="" dxfId="12">
      <formula>J15&gt;0</formula>
    </cfRule>
    <cfRule type="expression" priority="79" aboveAverage="0" equalAverage="0" bottom="0" percent="0" rank="0" text="" dxfId="13">
      <formula>J15&lt;0</formula>
    </cfRule>
  </conditionalFormatting>
  <conditionalFormatting sqref="M15">
    <cfRule type="expression" priority="80" aboveAverage="0" equalAverage="0" bottom="0" percent="0" rank="0" text="" dxfId="12">
      <formula>M15&gt;0</formula>
    </cfRule>
    <cfRule type="expression" priority="81" aboveAverage="0" equalAverage="0" bottom="0" percent="0" rank="0" text="" dxfId="13">
      <formula>M15&lt;0</formula>
    </cfRule>
  </conditionalFormatting>
  <conditionalFormatting sqref="D16">
    <cfRule type="expression" priority="82" aboveAverage="0" equalAverage="0" bottom="0" percent="0" rank="0" text="" dxfId="12">
      <formula>D16&gt;0</formula>
    </cfRule>
    <cfRule type="expression" priority="83" aboveAverage="0" equalAverage="0" bottom="0" percent="0" rank="0" text="" dxfId="13">
      <formula>D16&lt;0</formula>
    </cfRule>
  </conditionalFormatting>
  <conditionalFormatting sqref="G16">
    <cfRule type="expression" priority="84" aboveAverage="0" equalAverage="0" bottom="0" percent="0" rank="0" text="" dxfId="12">
      <formula>G16&gt;0</formula>
    </cfRule>
    <cfRule type="expression" priority="85" aboveAverage="0" equalAverage="0" bottom="0" percent="0" rank="0" text="" dxfId="13">
      <formula>G16&lt;0</formula>
    </cfRule>
  </conditionalFormatting>
  <conditionalFormatting sqref="J16">
    <cfRule type="expression" priority="86" aboveAverage="0" equalAverage="0" bottom="0" percent="0" rank="0" text="" dxfId="12">
      <formula>J16&gt;0</formula>
    </cfRule>
    <cfRule type="expression" priority="87" aboveAverage="0" equalAverage="0" bottom="0" percent="0" rank="0" text="" dxfId="13">
      <formula>J16&lt;0</formula>
    </cfRule>
  </conditionalFormatting>
  <conditionalFormatting sqref="M16">
    <cfRule type="expression" priority="88" aboveAverage="0" equalAverage="0" bottom="0" percent="0" rank="0" text="" dxfId="12">
      <formula>M16&gt;0</formula>
    </cfRule>
    <cfRule type="expression" priority="89" aboveAverage="0" equalAverage="0" bottom="0" percent="0" rank="0" text="" dxfId="13">
      <formula>M16&lt;0</formula>
    </cfRule>
  </conditionalFormatting>
  <conditionalFormatting sqref="D17">
    <cfRule type="expression" priority="90" aboveAverage="0" equalAverage="0" bottom="0" percent="0" rank="0" text="" dxfId="12">
      <formula>D17&gt;0</formula>
    </cfRule>
    <cfRule type="expression" priority="91" aboveAverage="0" equalAverage="0" bottom="0" percent="0" rank="0" text="" dxfId="13">
      <formula>D17&lt;0</formula>
    </cfRule>
  </conditionalFormatting>
  <conditionalFormatting sqref="G17">
    <cfRule type="expression" priority="92" aboveAverage="0" equalAverage="0" bottom="0" percent="0" rank="0" text="" dxfId="12">
      <formula>G17&gt;0</formula>
    </cfRule>
    <cfRule type="expression" priority="93" aboveAverage="0" equalAverage="0" bottom="0" percent="0" rank="0" text="" dxfId="13">
      <formula>G17&lt;0</formula>
    </cfRule>
  </conditionalFormatting>
  <conditionalFormatting sqref="J17">
    <cfRule type="expression" priority="94" aboveAverage="0" equalAverage="0" bottom="0" percent="0" rank="0" text="" dxfId="12">
      <formula>J17&gt;0</formula>
    </cfRule>
    <cfRule type="expression" priority="95" aboveAverage="0" equalAverage="0" bottom="0" percent="0" rank="0" text="" dxfId="13">
      <formula>J17&lt;0</formula>
    </cfRule>
  </conditionalFormatting>
  <conditionalFormatting sqref="M17">
    <cfRule type="expression" priority="96" aboveAverage="0" equalAverage="0" bottom="0" percent="0" rank="0" text="" dxfId="12">
      <formula>M17&gt;0</formula>
    </cfRule>
    <cfRule type="expression" priority="97" aboveAverage="0" equalAverage="0" bottom="0" percent="0" rank="0" text="" dxfId="13">
      <formula>M17&lt;0</formula>
    </cfRule>
  </conditionalFormatting>
  <conditionalFormatting sqref="D18">
    <cfRule type="expression" priority="98" aboveAverage="0" equalAverage="0" bottom="0" percent="0" rank="0" text="" dxfId="12">
      <formula>D18&gt;0</formula>
    </cfRule>
    <cfRule type="expression" priority="99" aboveAverage="0" equalAverage="0" bottom="0" percent="0" rank="0" text="" dxfId="13">
      <formula>D18&lt;0</formula>
    </cfRule>
  </conditionalFormatting>
  <conditionalFormatting sqref="G18">
    <cfRule type="expression" priority="100" aboveAverage="0" equalAverage="0" bottom="0" percent="0" rank="0" text="" dxfId="12">
      <formula>G18&gt;0</formula>
    </cfRule>
    <cfRule type="expression" priority="101" aboveAverage="0" equalAverage="0" bottom="0" percent="0" rank="0" text="" dxfId="13">
      <formula>G18&lt;0</formula>
    </cfRule>
  </conditionalFormatting>
  <conditionalFormatting sqref="J18">
    <cfRule type="expression" priority="102" aboveAverage="0" equalAverage="0" bottom="0" percent="0" rank="0" text="" dxfId="12">
      <formula>J18&gt;0</formula>
    </cfRule>
    <cfRule type="expression" priority="103" aboveAverage="0" equalAverage="0" bottom="0" percent="0" rank="0" text="" dxfId="13">
      <formula>J18&lt;0</formula>
    </cfRule>
  </conditionalFormatting>
  <conditionalFormatting sqref="M18">
    <cfRule type="expression" priority="104" aboveAverage="0" equalAverage="0" bottom="0" percent="0" rank="0" text="" dxfId="12">
      <formula>M18&gt;0</formula>
    </cfRule>
    <cfRule type="expression" priority="105" aboveAverage="0" equalAverage="0" bottom="0" percent="0" rank="0" text="" dxfId="13">
      <formula>M18&lt;0</formula>
    </cfRule>
  </conditionalFormatting>
  <conditionalFormatting sqref="D19">
    <cfRule type="expression" priority="106" aboveAverage="0" equalAverage="0" bottom="0" percent="0" rank="0" text="" dxfId="12">
      <formula>D19&gt;0</formula>
    </cfRule>
    <cfRule type="expression" priority="107" aboveAverage="0" equalAverage="0" bottom="0" percent="0" rank="0" text="" dxfId="13">
      <formula>D19&lt;0</formula>
    </cfRule>
  </conditionalFormatting>
  <conditionalFormatting sqref="G19">
    <cfRule type="expression" priority="108" aboveAverage="0" equalAverage="0" bottom="0" percent="0" rank="0" text="" dxfId="12">
      <formula>G19&gt;0</formula>
    </cfRule>
    <cfRule type="expression" priority="109" aboveAverage="0" equalAverage="0" bottom="0" percent="0" rank="0" text="" dxfId="13">
      <formula>G19&lt;0</formula>
    </cfRule>
  </conditionalFormatting>
  <conditionalFormatting sqref="J19">
    <cfRule type="expression" priority="110" aboveAverage="0" equalAverage="0" bottom="0" percent="0" rank="0" text="" dxfId="12">
      <formula>J19&gt;0</formula>
    </cfRule>
    <cfRule type="expression" priority="111" aboveAverage="0" equalAverage="0" bottom="0" percent="0" rank="0" text="" dxfId="13">
      <formula>J19&lt;0</formula>
    </cfRule>
  </conditionalFormatting>
  <conditionalFormatting sqref="M19">
    <cfRule type="expression" priority="112" aboveAverage="0" equalAverage="0" bottom="0" percent="0" rank="0" text="" dxfId="12">
      <formula>M19&gt;0</formula>
    </cfRule>
    <cfRule type="expression" priority="113" aboveAverage="0" equalAverage="0" bottom="0" percent="0" rank="0" text="" dxfId="13">
      <formula>M19&lt;0</formula>
    </cfRule>
  </conditionalFormatting>
  <conditionalFormatting sqref="D20">
    <cfRule type="expression" priority="114" aboveAverage="0" equalAverage="0" bottom="0" percent="0" rank="0" text="" dxfId="12">
      <formula>D20&gt;0</formula>
    </cfRule>
    <cfRule type="expression" priority="115" aboveAverage="0" equalAverage="0" bottom="0" percent="0" rank="0" text="" dxfId="13">
      <formula>D20&lt;0</formula>
    </cfRule>
  </conditionalFormatting>
  <conditionalFormatting sqref="G20">
    <cfRule type="expression" priority="116" aboveAverage="0" equalAverage="0" bottom="0" percent="0" rank="0" text="" dxfId="12">
      <formula>G20&gt;0</formula>
    </cfRule>
    <cfRule type="expression" priority="117" aboveAverage="0" equalAverage="0" bottom="0" percent="0" rank="0" text="" dxfId="13">
      <formula>G20&lt;0</formula>
    </cfRule>
  </conditionalFormatting>
  <conditionalFormatting sqref="J20">
    <cfRule type="expression" priority="118" aboveAverage="0" equalAverage="0" bottom="0" percent="0" rank="0" text="" dxfId="12">
      <formula>J20&gt;0</formula>
    </cfRule>
    <cfRule type="expression" priority="119" aboveAverage="0" equalAverage="0" bottom="0" percent="0" rank="0" text="" dxfId="13">
      <formula>J20&lt;0</formula>
    </cfRule>
  </conditionalFormatting>
  <conditionalFormatting sqref="M20">
    <cfRule type="expression" priority="120" aboveAverage="0" equalAverage="0" bottom="0" percent="0" rank="0" text="" dxfId="12">
      <formula>M20&gt;0</formula>
    </cfRule>
    <cfRule type="expression" priority="121" aboveAverage="0" equalAverage="0" bottom="0" percent="0" rank="0" text="" dxfId="13">
      <formula>M20&lt;0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0"/>
    <col collapsed="false" customWidth="true" hidden="false" outlineLevel="0" max="11" min="11" style="1" width="12"/>
  </cols>
  <sheetData>
    <row r="1" customFormat="false" ht="37.5" hidden="false" customHeight="true" outlineLevel="0" collapsed="false">
      <c r="A1" s="130" t="s">
        <v>118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</row>
    <row r="2" customFormat="false" ht="24" hidden="false" customHeight="true" outlineLevel="0" collapsed="false">
      <c r="A2" s="131" t="str">
        <f aca="false">TEXT(הגדרות!$C$3,"DD/MM/YYYY")&amp;"  |  שבוע: "&amp;TEXT(הגדרות!$C$3,"DD/MM")&amp;" – "&amp;TEXT(הגדרות!$C$3+6,"DD/MM")</f>
        <v>15/03/2026  |  שבוע: 15/03 – 21/03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4" customFormat="false" ht="19.5" hidden="false" customHeight="true" outlineLevel="0" collapsed="false">
      <c r="A4" s="132" t="s">
        <v>119</v>
      </c>
      <c r="B4" s="132"/>
      <c r="C4" s="132"/>
      <c r="D4" s="133" t="s">
        <v>120</v>
      </c>
      <c r="E4" s="133"/>
      <c r="F4" s="133"/>
      <c r="G4" s="134" t="s">
        <v>121</v>
      </c>
      <c r="H4" s="134"/>
      <c r="I4" s="134"/>
      <c r="J4" s="135" t="s">
        <v>122</v>
      </c>
      <c r="K4" s="135"/>
      <c r="L4" s="135"/>
      <c r="M4" s="136" t="s">
        <v>123</v>
      </c>
      <c r="N4" s="136"/>
      <c r="O4" s="136"/>
      <c r="P4" s="137" t="s">
        <v>124</v>
      </c>
      <c r="Q4" s="137"/>
      <c r="R4" s="137"/>
    </row>
    <row r="5" customFormat="false" ht="31.5" hidden="false" customHeight="true" outlineLevel="0" collapsed="false">
      <c r="A5" s="138" t="n">
        <f aca="false">IFERROR(COUNTIFS(T_Assign[תאריך],הגדרות!$C$3),0)</f>
        <v>0</v>
      </c>
      <c r="B5" s="138"/>
      <c r="C5" s="138"/>
      <c r="D5" s="139" t="n">
        <f aca="false">IFERROR(SUMPRODUCT(T_Standards[תקן]),0)</f>
        <v>0</v>
      </c>
      <c r="E5" s="139"/>
      <c r="F5" s="139"/>
      <c r="G5" s="140" t="n">
        <f aca="false">IFERROR(SUMPRODUCT((T_Assign[תאריך]=הגדרות!$C$3)*(T_Assign[פער]&gt;0)*T_Assign[פער]),0)</f>
        <v>0</v>
      </c>
      <c r="H5" s="140"/>
      <c r="I5" s="140"/>
      <c r="J5" s="141" t="n">
        <f aca="false">IFERROR(SUMPRODUCT((T_Assign[תאריך]=הגדרות!$C$3)*(T_Assign[פער]&lt;0)*ABS(T_Assign[פער])),0)</f>
        <v>0</v>
      </c>
      <c r="K5" s="141"/>
      <c r="L5" s="141"/>
      <c r="M5" s="142" t="n">
        <f aca="false">IFERROR(SUMPRODUCT((COUNTIFS(T_Assign[תאריך],"&gt;="&amp;הגדרות!$C$3,T_Assign[תאריך],"&lt;="&amp;הגדרות!$C$3+6,T_Assign[שם],נתוני_בסיס!$Y$3:$Y$52)&gt;=הגדרות!$C$14)*(נתוני_בסיס!$Y$3:$Y$52&lt;&gt;"")),0)</f>
        <v>0</v>
      </c>
      <c r="N5" s="142"/>
      <c r="O5" s="142"/>
      <c r="P5" s="143" t="n">
        <f aca="false">IFERROR(SUMPRODUCT((COUNTIFS(T_Assign[תאריך],הגדרות!$C$3,T_Assign[מחלקה],T_Depts[מחלקה])&gt;0)*1),0)</f>
        <v>0</v>
      </c>
      <c r="Q5" s="143"/>
      <c r="R5" s="143"/>
    </row>
    <row r="6" customFormat="false" ht="19.5" hidden="false" customHeight="true" outlineLevel="0" collapsed="false">
      <c r="A6" s="144"/>
      <c r="B6" s="144"/>
      <c r="C6" s="144"/>
      <c r="D6" s="145"/>
      <c r="E6" s="145"/>
      <c r="F6" s="145"/>
      <c r="G6" s="146"/>
      <c r="H6" s="146"/>
      <c r="I6" s="146"/>
      <c r="J6" s="147"/>
      <c r="K6" s="147"/>
      <c r="L6" s="147"/>
      <c r="M6" s="148"/>
      <c r="N6" s="148"/>
      <c r="O6" s="148"/>
      <c r="P6" s="149"/>
      <c r="Q6" s="149"/>
      <c r="R6" s="149"/>
    </row>
    <row r="8" customFormat="false" ht="24" hidden="false" customHeight="true" outlineLevel="0" collapsed="false">
      <c r="A8" s="83" t="s">
        <v>125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</row>
    <row r="9" customFormat="false" ht="18" hidden="false" customHeight="true" outlineLevel="0" collapsed="false">
      <c r="A9" s="58" t="s">
        <v>34</v>
      </c>
      <c r="B9" s="38" t="s">
        <v>126</v>
      </c>
      <c r="C9" s="38" t="s">
        <v>85</v>
      </c>
      <c r="D9" s="39" t="s">
        <v>127</v>
      </c>
      <c r="E9" s="39" t="s">
        <v>86</v>
      </c>
      <c r="F9" s="40" t="s">
        <v>128</v>
      </c>
      <c r="G9" s="40" t="s">
        <v>87</v>
      </c>
      <c r="H9" s="41" t="s">
        <v>129</v>
      </c>
      <c r="I9" s="41" t="s">
        <v>88</v>
      </c>
      <c r="J9" s="24" t="s">
        <v>49</v>
      </c>
      <c r="K9" s="24" t="s">
        <v>52</v>
      </c>
    </row>
    <row r="10" customFormat="false" ht="15" hidden="false" customHeight="true" outlineLevel="0" collapsed="false">
      <c r="A10" s="59" t="str">
        <f aca="false">IFERROR(INDEX(T_Depts[מחלקה],1),"")</f>
        <v/>
      </c>
      <c r="B10" s="34" t="n">
        <f aca="false">IFERROR(SUMPRODUCT((T_Standards[מחלקה]=$A10)*(T_Standards[משמרת]="בוקר")*T_Standards[תקן]),0)</f>
        <v>0</v>
      </c>
      <c r="C10" s="150" t="n">
        <f aca="false">IFERROR(COUNTIFS(T_Assign[תאריך],הגדרות!$C$3,T_Assign[משמרת],"בוקר",T_Assign[מחלקה],$A10),0)</f>
        <v>0</v>
      </c>
      <c r="D10" s="34" t="n">
        <f aca="false">IFERROR(SUMPRODUCT((T_Standards[מחלקה]=$A10)*(T_Standards[משמרת]="אמצע")*T_Standards[תקן]),0)</f>
        <v>0</v>
      </c>
      <c r="E10" s="150" t="n">
        <f aca="false">IFERROR(COUNTIFS(T_Assign[תאריך],הגדרות!$C$3,T_Assign[משמרת],"אמצע",T_Assign[מחלקה],$A10),0)</f>
        <v>0</v>
      </c>
      <c r="F10" s="34" t="n">
        <f aca="false">IFERROR(SUMPRODUCT((T_Standards[מחלקה]=$A10)*(T_Standards[משמרת]="ערב")*T_Standards[תקן]),0)</f>
        <v>0</v>
      </c>
      <c r="G10" s="150" t="n">
        <f aca="false">IFERROR(COUNTIFS(T_Assign[תאריך],הגדרות!$C$3,T_Assign[משמרת],"ערב",T_Assign[מחלקה],$A10),0)</f>
        <v>0</v>
      </c>
      <c r="H10" s="151" t="n">
        <f aca="false">IFERROR(SUM(B10,D10,F10),0)</f>
        <v>0</v>
      </c>
      <c r="I10" s="152" t="n">
        <f aca="false">IFERROR(SUM(C10,E10,G10),0)</f>
        <v>0</v>
      </c>
      <c r="J10" s="34" t="n">
        <f aca="false">IFERROR(H10-I10,0)</f>
        <v>0</v>
      </c>
      <c r="K10" s="153" t="str">
        <f aca="false">IFERROR(IF($A10="","",IF(J10=0,"✓ מאויש",IF(J10&gt;0,"⚠ חוסר","↑ עודף"))),"")</f>
        <v/>
      </c>
    </row>
    <row r="11" customFormat="false" ht="15" hidden="false" customHeight="true" outlineLevel="0" collapsed="false">
      <c r="A11" s="59" t="str">
        <f aca="false">IFERROR(INDEX(T_Depts[מחלקה],2),"")</f>
        <v/>
      </c>
      <c r="B11" s="64" t="n">
        <f aca="false">IFERROR(SUMPRODUCT((T_Standards[מחלקה]=$A11)*(T_Standards[משמרת]="בוקר")*T_Standards[תקן]),0)</f>
        <v>0</v>
      </c>
      <c r="C11" s="154" t="n">
        <f aca="false">IFERROR(COUNTIFS(T_Assign[תאריך],הגדרות!$C$3,T_Assign[משמרת],"בוקר",T_Assign[מחלקה],$A11),0)</f>
        <v>0</v>
      </c>
      <c r="D11" s="64" t="n">
        <f aca="false">IFERROR(SUMPRODUCT((T_Standards[מחלקה]=$A11)*(T_Standards[משמרת]="אמצע")*T_Standards[תקן]),0)</f>
        <v>0</v>
      </c>
      <c r="E11" s="154" t="n">
        <f aca="false">IFERROR(COUNTIFS(T_Assign[תאריך],הגדרות!$C$3,T_Assign[משמרת],"אמצע",T_Assign[מחלקה],$A11),0)</f>
        <v>0</v>
      </c>
      <c r="F11" s="64" t="n">
        <f aca="false">IFERROR(SUMPRODUCT((T_Standards[מחלקה]=$A11)*(T_Standards[משמרת]="ערב")*T_Standards[תקן]),0)</f>
        <v>0</v>
      </c>
      <c r="G11" s="154" t="n">
        <f aca="false">IFERROR(COUNTIFS(T_Assign[תאריך],הגדרות!$C$3,T_Assign[משמרת],"ערב",T_Assign[מחלקה],$A11),0)</f>
        <v>0</v>
      </c>
      <c r="H11" s="151" t="n">
        <f aca="false">IFERROR(SUM(B11,D11,F11),0)</f>
        <v>0</v>
      </c>
      <c r="I11" s="152" t="n">
        <f aca="false">IFERROR(SUM(C11,E11,G11),0)</f>
        <v>0</v>
      </c>
      <c r="J11" s="64" t="n">
        <f aca="false">IFERROR(H11-I11,0)</f>
        <v>0</v>
      </c>
      <c r="K11" s="155" t="str">
        <f aca="false">IFERROR(IF($A11="","",IF(J11=0,"✓ מאויש",IF(J11&gt;0,"⚠ חוסר","↑ עודף"))),"")</f>
        <v/>
      </c>
    </row>
    <row r="12" customFormat="false" ht="15" hidden="false" customHeight="true" outlineLevel="0" collapsed="false">
      <c r="A12" s="59" t="str">
        <f aca="false">IFERROR(INDEX(T_Depts[מחלקה],3),"")</f>
        <v/>
      </c>
      <c r="B12" s="34" t="n">
        <f aca="false">IFERROR(SUMPRODUCT((T_Standards[מחלקה]=$A12)*(T_Standards[משמרת]="בוקר")*T_Standards[תקן]),0)</f>
        <v>0</v>
      </c>
      <c r="C12" s="150" t="n">
        <f aca="false">IFERROR(COUNTIFS(T_Assign[תאריך],הגדרות!$C$3,T_Assign[משמרת],"בוקר",T_Assign[מחלקה],$A12),0)</f>
        <v>0</v>
      </c>
      <c r="D12" s="34" t="n">
        <f aca="false">IFERROR(SUMPRODUCT((T_Standards[מחלקה]=$A12)*(T_Standards[משמרת]="אמצע")*T_Standards[תקן]),0)</f>
        <v>0</v>
      </c>
      <c r="E12" s="150" t="n">
        <f aca="false">IFERROR(COUNTIFS(T_Assign[תאריך],הגדרות!$C$3,T_Assign[משמרת],"אמצע",T_Assign[מחלקה],$A12),0)</f>
        <v>0</v>
      </c>
      <c r="F12" s="34" t="n">
        <f aca="false">IFERROR(SUMPRODUCT((T_Standards[מחלקה]=$A12)*(T_Standards[משמרת]="ערב")*T_Standards[תקן]),0)</f>
        <v>0</v>
      </c>
      <c r="G12" s="150" t="n">
        <f aca="false">IFERROR(COUNTIFS(T_Assign[תאריך],הגדרות!$C$3,T_Assign[משמרת],"ערב",T_Assign[מחלקה],$A12),0)</f>
        <v>0</v>
      </c>
      <c r="H12" s="151" t="n">
        <f aca="false">IFERROR(SUM(B12,D12,F12),0)</f>
        <v>0</v>
      </c>
      <c r="I12" s="152" t="n">
        <f aca="false">IFERROR(SUM(C12,E12,G12),0)</f>
        <v>0</v>
      </c>
      <c r="J12" s="34" t="n">
        <f aca="false">IFERROR(H12-I12,0)</f>
        <v>0</v>
      </c>
      <c r="K12" s="153" t="str">
        <f aca="false">IFERROR(IF($A12="","",IF(J12=0,"✓ מאויש",IF(J12&gt;0,"⚠ חוסר","↑ עודף"))),"")</f>
        <v/>
      </c>
    </row>
    <row r="13" customFormat="false" ht="15" hidden="false" customHeight="true" outlineLevel="0" collapsed="false">
      <c r="A13" s="59" t="str">
        <f aca="false">IFERROR(INDEX(T_Depts[מחלקה],4),"")</f>
        <v/>
      </c>
      <c r="B13" s="64" t="n">
        <f aca="false">IFERROR(SUMPRODUCT((T_Standards[מחלקה]=$A13)*(T_Standards[משמרת]="בוקר")*T_Standards[תקן]),0)</f>
        <v>0</v>
      </c>
      <c r="C13" s="154" t="n">
        <f aca="false">IFERROR(COUNTIFS(T_Assign[תאריך],הגדרות!$C$3,T_Assign[משמרת],"בוקר",T_Assign[מחלקה],$A13),0)</f>
        <v>0</v>
      </c>
      <c r="D13" s="64" t="n">
        <f aca="false">IFERROR(SUMPRODUCT((T_Standards[מחלקה]=$A13)*(T_Standards[משמרת]="אמצע")*T_Standards[תקן]),0)</f>
        <v>0</v>
      </c>
      <c r="E13" s="154" t="n">
        <f aca="false">IFERROR(COUNTIFS(T_Assign[תאריך],הגדרות!$C$3,T_Assign[משמרת],"אמצע",T_Assign[מחלקה],$A13),0)</f>
        <v>0</v>
      </c>
      <c r="F13" s="64" t="n">
        <f aca="false">IFERROR(SUMPRODUCT((T_Standards[מחלקה]=$A13)*(T_Standards[משמרת]="ערב")*T_Standards[תקן]),0)</f>
        <v>0</v>
      </c>
      <c r="G13" s="154" t="n">
        <f aca="false">IFERROR(COUNTIFS(T_Assign[תאריך],הגדרות!$C$3,T_Assign[משמרת],"ערב",T_Assign[מחלקה],$A13),0)</f>
        <v>0</v>
      </c>
      <c r="H13" s="151" t="n">
        <f aca="false">IFERROR(SUM(B13,D13,F13),0)</f>
        <v>0</v>
      </c>
      <c r="I13" s="152" t="n">
        <f aca="false">IFERROR(SUM(C13,E13,G13),0)</f>
        <v>0</v>
      </c>
      <c r="J13" s="64" t="n">
        <f aca="false">IFERROR(H13-I13,0)</f>
        <v>0</v>
      </c>
      <c r="K13" s="155" t="str">
        <f aca="false">IFERROR(IF($A13="","",IF(J13=0,"✓ מאויש",IF(J13&gt;0,"⚠ חוסר","↑ עודף"))),"")</f>
        <v/>
      </c>
    </row>
    <row r="14" customFormat="false" ht="15" hidden="false" customHeight="true" outlineLevel="0" collapsed="false">
      <c r="A14" s="59" t="str">
        <f aca="false">IFERROR(INDEX(T_Depts[מחלקה],5),"")</f>
        <v/>
      </c>
      <c r="B14" s="34" t="n">
        <f aca="false">IFERROR(SUMPRODUCT((T_Standards[מחלקה]=$A14)*(T_Standards[משמרת]="בוקר")*T_Standards[תקן]),0)</f>
        <v>0</v>
      </c>
      <c r="C14" s="150" t="n">
        <f aca="false">IFERROR(COUNTIFS(T_Assign[תאריך],הגדרות!$C$3,T_Assign[משמרת],"בוקר",T_Assign[מחלקה],$A14),0)</f>
        <v>0</v>
      </c>
      <c r="D14" s="34" t="n">
        <f aca="false">IFERROR(SUMPRODUCT((T_Standards[מחלקה]=$A14)*(T_Standards[משמרת]="אמצע")*T_Standards[תקן]),0)</f>
        <v>0</v>
      </c>
      <c r="E14" s="150" t="n">
        <f aca="false">IFERROR(COUNTIFS(T_Assign[תאריך],הגדרות!$C$3,T_Assign[משמרת],"אמצע",T_Assign[מחלקה],$A14),0)</f>
        <v>0</v>
      </c>
      <c r="F14" s="34" t="n">
        <f aca="false">IFERROR(SUMPRODUCT((T_Standards[מחלקה]=$A14)*(T_Standards[משמרת]="ערב")*T_Standards[תקן]),0)</f>
        <v>0</v>
      </c>
      <c r="G14" s="150" t="n">
        <f aca="false">IFERROR(COUNTIFS(T_Assign[תאריך],הגדרות!$C$3,T_Assign[משמרת],"ערב",T_Assign[מחלקה],$A14),0)</f>
        <v>0</v>
      </c>
      <c r="H14" s="151" t="n">
        <f aca="false">IFERROR(SUM(B14,D14,F14),0)</f>
        <v>0</v>
      </c>
      <c r="I14" s="152" t="n">
        <f aca="false">IFERROR(SUM(C14,E14,G14),0)</f>
        <v>0</v>
      </c>
      <c r="J14" s="34" t="n">
        <f aca="false">IFERROR(H14-I14,0)</f>
        <v>0</v>
      </c>
      <c r="K14" s="153" t="str">
        <f aca="false">IFERROR(IF($A14="","",IF(J14=0,"✓ מאויש",IF(J14&gt;0,"⚠ חוסר","↑ עודף"))),"")</f>
        <v/>
      </c>
    </row>
    <row r="15" customFormat="false" ht="15" hidden="false" customHeight="true" outlineLevel="0" collapsed="false">
      <c r="A15" s="59" t="str">
        <f aca="false">IFERROR(INDEX(T_Depts[מחלקה],6),"")</f>
        <v/>
      </c>
      <c r="B15" s="64" t="n">
        <f aca="false">IFERROR(SUMPRODUCT((T_Standards[מחלקה]=$A15)*(T_Standards[משמרת]="בוקר")*T_Standards[תקן]),0)</f>
        <v>0</v>
      </c>
      <c r="C15" s="154" t="n">
        <f aca="false">IFERROR(COUNTIFS(T_Assign[תאריך],הגדרות!$C$3,T_Assign[משמרת],"בוקר",T_Assign[מחלקה],$A15),0)</f>
        <v>0</v>
      </c>
      <c r="D15" s="64" t="n">
        <f aca="false">IFERROR(SUMPRODUCT((T_Standards[מחלקה]=$A15)*(T_Standards[משמרת]="אמצע")*T_Standards[תקן]),0)</f>
        <v>0</v>
      </c>
      <c r="E15" s="154" t="n">
        <f aca="false">IFERROR(COUNTIFS(T_Assign[תאריך],הגדרות!$C$3,T_Assign[משמרת],"אמצע",T_Assign[מחלקה],$A15),0)</f>
        <v>0</v>
      </c>
      <c r="F15" s="64" t="n">
        <f aca="false">IFERROR(SUMPRODUCT((T_Standards[מחלקה]=$A15)*(T_Standards[משמרת]="ערב")*T_Standards[תקן]),0)</f>
        <v>0</v>
      </c>
      <c r="G15" s="154" t="n">
        <f aca="false">IFERROR(COUNTIFS(T_Assign[תאריך],הגדרות!$C$3,T_Assign[משמרת],"ערב",T_Assign[מחלקה],$A15),0)</f>
        <v>0</v>
      </c>
      <c r="H15" s="151" t="n">
        <f aca="false">IFERROR(SUM(B15,D15,F15),0)</f>
        <v>0</v>
      </c>
      <c r="I15" s="152" t="n">
        <f aca="false">IFERROR(SUM(C15,E15,G15),0)</f>
        <v>0</v>
      </c>
      <c r="J15" s="64" t="n">
        <f aca="false">IFERROR(H15-I15,0)</f>
        <v>0</v>
      </c>
      <c r="K15" s="155" t="str">
        <f aca="false">IFERROR(IF($A15="","",IF(J15=0,"✓ מאויש",IF(J15&gt;0,"⚠ חוסר","↑ עודף"))),"")</f>
        <v/>
      </c>
    </row>
    <row r="16" customFormat="false" ht="15" hidden="false" customHeight="true" outlineLevel="0" collapsed="false">
      <c r="A16" s="59" t="str">
        <f aca="false">IFERROR(INDEX(T_Depts[מחלקה],7),"")</f>
        <v/>
      </c>
      <c r="B16" s="34" t="n">
        <f aca="false">IFERROR(SUMPRODUCT((T_Standards[מחלקה]=$A16)*(T_Standards[משמרת]="בוקר")*T_Standards[תקן]),0)</f>
        <v>0</v>
      </c>
      <c r="C16" s="150" t="n">
        <f aca="false">IFERROR(COUNTIFS(T_Assign[תאריך],הגדרות!$C$3,T_Assign[משמרת],"בוקר",T_Assign[מחלקה],$A16),0)</f>
        <v>0</v>
      </c>
      <c r="D16" s="34" t="n">
        <f aca="false">IFERROR(SUMPRODUCT((T_Standards[מחלקה]=$A16)*(T_Standards[משמרת]="אמצע")*T_Standards[תקן]),0)</f>
        <v>0</v>
      </c>
      <c r="E16" s="150" t="n">
        <f aca="false">IFERROR(COUNTIFS(T_Assign[תאריך],הגדרות!$C$3,T_Assign[משמרת],"אמצע",T_Assign[מחלקה],$A16),0)</f>
        <v>0</v>
      </c>
      <c r="F16" s="34" t="n">
        <f aca="false">IFERROR(SUMPRODUCT((T_Standards[מחלקה]=$A16)*(T_Standards[משמרת]="ערב")*T_Standards[תקן]),0)</f>
        <v>0</v>
      </c>
      <c r="G16" s="150" t="n">
        <f aca="false">IFERROR(COUNTIFS(T_Assign[תאריך],הגדרות!$C$3,T_Assign[משמרת],"ערב",T_Assign[מחלקה],$A16),0)</f>
        <v>0</v>
      </c>
      <c r="H16" s="151" t="n">
        <f aca="false">IFERROR(SUM(B16,D16,F16),0)</f>
        <v>0</v>
      </c>
      <c r="I16" s="152" t="n">
        <f aca="false">IFERROR(SUM(C16,E16,G16),0)</f>
        <v>0</v>
      </c>
      <c r="J16" s="34" t="n">
        <f aca="false">IFERROR(H16-I16,0)</f>
        <v>0</v>
      </c>
      <c r="K16" s="153" t="str">
        <f aca="false">IFERROR(IF($A16="","",IF(J16=0,"✓ מאויש",IF(J16&gt;0,"⚠ חוסר","↑ עודף"))),"")</f>
        <v/>
      </c>
    </row>
    <row r="17" customFormat="false" ht="15" hidden="false" customHeight="true" outlineLevel="0" collapsed="false">
      <c r="A17" s="59" t="str">
        <f aca="false">IFERROR(INDEX(T_Depts[מחלקה],8),"")</f>
        <v/>
      </c>
      <c r="B17" s="64" t="n">
        <f aca="false">IFERROR(SUMPRODUCT((T_Standards[מחלקה]=$A17)*(T_Standards[משמרת]="בוקר")*T_Standards[תקן]),0)</f>
        <v>0</v>
      </c>
      <c r="C17" s="154" t="n">
        <f aca="false">IFERROR(COUNTIFS(T_Assign[תאריך],הגדרות!$C$3,T_Assign[משמרת],"בוקר",T_Assign[מחלקה],$A17),0)</f>
        <v>0</v>
      </c>
      <c r="D17" s="64" t="n">
        <f aca="false">IFERROR(SUMPRODUCT((T_Standards[מחלקה]=$A17)*(T_Standards[משמרת]="אמצע")*T_Standards[תקן]),0)</f>
        <v>0</v>
      </c>
      <c r="E17" s="154" t="n">
        <f aca="false">IFERROR(COUNTIFS(T_Assign[תאריך],הגדרות!$C$3,T_Assign[משמרת],"אמצע",T_Assign[מחלקה],$A17),0)</f>
        <v>0</v>
      </c>
      <c r="F17" s="64" t="n">
        <f aca="false">IFERROR(SUMPRODUCT((T_Standards[מחלקה]=$A17)*(T_Standards[משמרת]="ערב")*T_Standards[תקן]),0)</f>
        <v>0</v>
      </c>
      <c r="G17" s="154" t="n">
        <f aca="false">IFERROR(COUNTIFS(T_Assign[תאריך],הגדרות!$C$3,T_Assign[משמרת],"ערב",T_Assign[מחלקה],$A17),0)</f>
        <v>0</v>
      </c>
      <c r="H17" s="151" t="n">
        <f aca="false">IFERROR(SUM(B17,D17,F17),0)</f>
        <v>0</v>
      </c>
      <c r="I17" s="152" t="n">
        <f aca="false">IFERROR(SUM(C17,E17,G17),0)</f>
        <v>0</v>
      </c>
      <c r="J17" s="64" t="n">
        <f aca="false">IFERROR(H17-I17,0)</f>
        <v>0</v>
      </c>
      <c r="K17" s="155" t="str">
        <f aca="false">IFERROR(IF($A17="","",IF(J17=0,"✓ מאויש",IF(J17&gt;0,"⚠ חוסר","↑ עודף"))),"")</f>
        <v/>
      </c>
    </row>
    <row r="18" customFormat="false" ht="15" hidden="false" customHeight="true" outlineLevel="0" collapsed="false">
      <c r="A18" s="59" t="str">
        <f aca="false">IFERROR(INDEX(T_Depts[מחלקה],9),"")</f>
        <v/>
      </c>
      <c r="B18" s="34" t="n">
        <f aca="false">IFERROR(SUMPRODUCT((T_Standards[מחלקה]=$A18)*(T_Standards[משמרת]="בוקר")*T_Standards[תקן]),0)</f>
        <v>0</v>
      </c>
      <c r="C18" s="150" t="n">
        <f aca="false">IFERROR(COUNTIFS(T_Assign[תאריך],הגדרות!$C$3,T_Assign[משמרת],"בוקר",T_Assign[מחלקה],$A18),0)</f>
        <v>0</v>
      </c>
      <c r="D18" s="34" t="n">
        <f aca="false">IFERROR(SUMPRODUCT((T_Standards[מחלקה]=$A18)*(T_Standards[משמרת]="אמצע")*T_Standards[תקן]),0)</f>
        <v>0</v>
      </c>
      <c r="E18" s="150" t="n">
        <f aca="false">IFERROR(COUNTIFS(T_Assign[תאריך],הגדרות!$C$3,T_Assign[משמרת],"אמצע",T_Assign[מחלקה],$A18),0)</f>
        <v>0</v>
      </c>
      <c r="F18" s="34" t="n">
        <f aca="false">IFERROR(SUMPRODUCT((T_Standards[מחלקה]=$A18)*(T_Standards[משמרת]="ערב")*T_Standards[תקן]),0)</f>
        <v>0</v>
      </c>
      <c r="G18" s="150" t="n">
        <f aca="false">IFERROR(COUNTIFS(T_Assign[תאריך],הגדרות!$C$3,T_Assign[משמרת],"ערב",T_Assign[מחלקה],$A18),0)</f>
        <v>0</v>
      </c>
      <c r="H18" s="151" t="n">
        <f aca="false">IFERROR(SUM(B18,D18,F18),0)</f>
        <v>0</v>
      </c>
      <c r="I18" s="152" t="n">
        <f aca="false">IFERROR(SUM(C18,E18,G18),0)</f>
        <v>0</v>
      </c>
      <c r="J18" s="34" t="n">
        <f aca="false">IFERROR(H18-I18,0)</f>
        <v>0</v>
      </c>
      <c r="K18" s="153" t="str">
        <f aca="false">IFERROR(IF($A18="","",IF(J18=0,"✓ מאויש",IF(J18&gt;0,"⚠ חוסר","↑ עודף"))),"")</f>
        <v/>
      </c>
    </row>
    <row r="19" customFormat="false" ht="15" hidden="false" customHeight="true" outlineLevel="0" collapsed="false">
      <c r="A19" s="59" t="str">
        <f aca="false">IFERROR(INDEX(T_Depts[מחלקה],10),"")</f>
        <v/>
      </c>
      <c r="B19" s="64" t="n">
        <f aca="false">IFERROR(SUMPRODUCT((T_Standards[מחלקה]=$A19)*(T_Standards[משמרת]="בוקר")*T_Standards[תקן]),0)</f>
        <v>0</v>
      </c>
      <c r="C19" s="154" t="n">
        <f aca="false">IFERROR(COUNTIFS(T_Assign[תאריך],הגדרות!$C$3,T_Assign[משמרת],"בוקר",T_Assign[מחלקה],$A19),0)</f>
        <v>0</v>
      </c>
      <c r="D19" s="64" t="n">
        <f aca="false">IFERROR(SUMPRODUCT((T_Standards[מחלקה]=$A19)*(T_Standards[משמרת]="אמצע")*T_Standards[תקן]),0)</f>
        <v>0</v>
      </c>
      <c r="E19" s="154" t="n">
        <f aca="false">IFERROR(COUNTIFS(T_Assign[תאריך],הגדרות!$C$3,T_Assign[משמרת],"אמצע",T_Assign[מחלקה],$A19),0)</f>
        <v>0</v>
      </c>
      <c r="F19" s="64" t="n">
        <f aca="false">IFERROR(SUMPRODUCT((T_Standards[מחלקה]=$A19)*(T_Standards[משמרת]="ערב")*T_Standards[תקן]),0)</f>
        <v>0</v>
      </c>
      <c r="G19" s="154" t="n">
        <f aca="false">IFERROR(COUNTIFS(T_Assign[תאריך],הגדרות!$C$3,T_Assign[משמרת],"ערב",T_Assign[מחלקה],$A19),0)</f>
        <v>0</v>
      </c>
      <c r="H19" s="151" t="n">
        <f aca="false">IFERROR(SUM(B19,D19,F19),0)</f>
        <v>0</v>
      </c>
      <c r="I19" s="152" t="n">
        <f aca="false">IFERROR(SUM(C19,E19,G19),0)</f>
        <v>0</v>
      </c>
      <c r="J19" s="64" t="n">
        <f aca="false">IFERROR(H19-I19,0)</f>
        <v>0</v>
      </c>
      <c r="K19" s="155" t="str">
        <f aca="false">IFERROR(IF($A19="","",IF(J19=0,"✓ מאויש",IF(J19&gt;0,"⚠ חוסר","↑ עודף"))),"")</f>
        <v/>
      </c>
    </row>
    <row r="20" customFormat="false" ht="15" hidden="false" customHeight="true" outlineLevel="0" collapsed="false">
      <c r="A20" s="59" t="str">
        <f aca="false">IFERROR(INDEX(T_Depts[מחלקה],11),"")</f>
        <v/>
      </c>
      <c r="B20" s="34" t="n">
        <f aca="false">IFERROR(SUMPRODUCT((T_Standards[מחלקה]=$A20)*(T_Standards[משמרת]="בוקר")*T_Standards[תקן]),0)</f>
        <v>0</v>
      </c>
      <c r="C20" s="150" t="n">
        <f aca="false">IFERROR(COUNTIFS(T_Assign[תאריך],הגדרות!$C$3,T_Assign[משמרת],"בוקר",T_Assign[מחלקה],$A20),0)</f>
        <v>0</v>
      </c>
      <c r="D20" s="34" t="n">
        <f aca="false">IFERROR(SUMPRODUCT((T_Standards[מחלקה]=$A20)*(T_Standards[משמרת]="אמצע")*T_Standards[תקן]),0)</f>
        <v>0</v>
      </c>
      <c r="E20" s="150" t="n">
        <f aca="false">IFERROR(COUNTIFS(T_Assign[תאריך],הגדרות!$C$3,T_Assign[משמרת],"אמצע",T_Assign[מחלקה],$A20),0)</f>
        <v>0</v>
      </c>
      <c r="F20" s="34" t="n">
        <f aca="false">IFERROR(SUMPRODUCT((T_Standards[מחלקה]=$A20)*(T_Standards[משמרת]="ערב")*T_Standards[תקן]),0)</f>
        <v>0</v>
      </c>
      <c r="G20" s="150" t="n">
        <f aca="false">IFERROR(COUNTIFS(T_Assign[תאריך],הגדרות!$C$3,T_Assign[משמרת],"ערב",T_Assign[מחלקה],$A20),0)</f>
        <v>0</v>
      </c>
      <c r="H20" s="151" t="n">
        <f aca="false">IFERROR(SUM(B20,D20,F20),0)</f>
        <v>0</v>
      </c>
      <c r="I20" s="152" t="n">
        <f aca="false">IFERROR(SUM(C20,E20,G20),0)</f>
        <v>0</v>
      </c>
      <c r="J20" s="34" t="n">
        <f aca="false">IFERROR(H20-I20,0)</f>
        <v>0</v>
      </c>
      <c r="K20" s="153" t="str">
        <f aca="false">IFERROR(IF($A20="","",IF(J20=0,"✓ מאויש",IF(J20&gt;0,"⚠ חוסר","↑ עודף"))),"")</f>
        <v/>
      </c>
    </row>
    <row r="21" customFormat="false" ht="15" hidden="false" customHeight="true" outlineLevel="0" collapsed="false">
      <c r="A21" s="59" t="str">
        <f aca="false">IFERROR(INDEX(T_Depts[מחלקה],12),"")</f>
        <v/>
      </c>
      <c r="B21" s="64" t="n">
        <f aca="false">IFERROR(SUMPRODUCT((T_Standards[מחלקה]=$A21)*(T_Standards[משמרת]="בוקר")*T_Standards[תקן]),0)</f>
        <v>0</v>
      </c>
      <c r="C21" s="154" t="n">
        <f aca="false">IFERROR(COUNTIFS(T_Assign[תאריך],הגדרות!$C$3,T_Assign[משמרת],"בוקר",T_Assign[מחלקה],$A21),0)</f>
        <v>0</v>
      </c>
      <c r="D21" s="64" t="n">
        <f aca="false">IFERROR(SUMPRODUCT((T_Standards[מחלקה]=$A21)*(T_Standards[משמרת]="אמצע")*T_Standards[תקן]),0)</f>
        <v>0</v>
      </c>
      <c r="E21" s="154" t="n">
        <f aca="false">IFERROR(COUNTIFS(T_Assign[תאריך],הגדרות!$C$3,T_Assign[משמרת],"אמצע",T_Assign[מחלקה],$A21),0)</f>
        <v>0</v>
      </c>
      <c r="F21" s="64" t="n">
        <f aca="false">IFERROR(SUMPRODUCT((T_Standards[מחלקה]=$A21)*(T_Standards[משמרת]="ערב")*T_Standards[תקן]),0)</f>
        <v>0</v>
      </c>
      <c r="G21" s="154" t="n">
        <f aca="false">IFERROR(COUNTIFS(T_Assign[תאריך],הגדרות!$C$3,T_Assign[משמרת],"ערב",T_Assign[מחלקה],$A21),0)</f>
        <v>0</v>
      </c>
      <c r="H21" s="151" t="n">
        <f aca="false">IFERROR(SUM(B21,D21,F21),0)</f>
        <v>0</v>
      </c>
      <c r="I21" s="152" t="n">
        <f aca="false">IFERROR(SUM(C21,E21,G21),0)</f>
        <v>0</v>
      </c>
      <c r="J21" s="64" t="n">
        <f aca="false">IFERROR(H21-I21,0)</f>
        <v>0</v>
      </c>
      <c r="K21" s="155" t="str">
        <f aca="false">IFERROR(IF($A21="","",IF(J21=0,"✓ מאויש",IF(J21&gt;0,"⚠ חוסר","↑ עודף"))),"")</f>
        <v/>
      </c>
    </row>
    <row r="22" customFormat="false" ht="15" hidden="false" customHeight="true" outlineLevel="0" collapsed="false">
      <c r="A22" s="59" t="str">
        <f aca="false">IFERROR(INDEX(T_Depts[מחלקה],13),"")</f>
        <v/>
      </c>
      <c r="B22" s="34" t="n">
        <f aca="false">IFERROR(SUMPRODUCT((T_Standards[מחלקה]=$A22)*(T_Standards[משמרת]="בוקר")*T_Standards[תקן]),0)</f>
        <v>0</v>
      </c>
      <c r="C22" s="150" t="n">
        <f aca="false">IFERROR(COUNTIFS(T_Assign[תאריך],הגדרות!$C$3,T_Assign[משמרת],"בוקר",T_Assign[מחלקה],$A22),0)</f>
        <v>0</v>
      </c>
      <c r="D22" s="34" t="n">
        <f aca="false">IFERROR(SUMPRODUCT((T_Standards[מחלקה]=$A22)*(T_Standards[משמרת]="אמצע")*T_Standards[תקן]),0)</f>
        <v>0</v>
      </c>
      <c r="E22" s="150" t="n">
        <f aca="false">IFERROR(COUNTIFS(T_Assign[תאריך],הגדרות!$C$3,T_Assign[משמרת],"אמצע",T_Assign[מחלקה],$A22),0)</f>
        <v>0</v>
      </c>
      <c r="F22" s="34" t="n">
        <f aca="false">IFERROR(SUMPRODUCT((T_Standards[מחלקה]=$A22)*(T_Standards[משמרת]="ערב")*T_Standards[תקן]),0)</f>
        <v>0</v>
      </c>
      <c r="G22" s="150" t="n">
        <f aca="false">IFERROR(COUNTIFS(T_Assign[תאריך],הגדרות!$C$3,T_Assign[משמרת],"ערב",T_Assign[מחלקה],$A22),0)</f>
        <v>0</v>
      </c>
      <c r="H22" s="151" t="n">
        <f aca="false">IFERROR(SUM(B22,D22,F22),0)</f>
        <v>0</v>
      </c>
      <c r="I22" s="152" t="n">
        <f aca="false">IFERROR(SUM(C22,E22,G22),0)</f>
        <v>0</v>
      </c>
      <c r="J22" s="34" t="n">
        <f aca="false">IFERROR(H22-I22,0)</f>
        <v>0</v>
      </c>
      <c r="K22" s="153" t="str">
        <f aca="false">IFERROR(IF($A22="","",IF(J22=0,"✓ מאויש",IF(J22&gt;0,"⚠ חוסר","↑ עודף"))),"")</f>
        <v/>
      </c>
    </row>
    <row r="23" customFormat="false" ht="15" hidden="false" customHeight="true" outlineLevel="0" collapsed="false">
      <c r="A23" s="59" t="str">
        <f aca="false">IFERROR(INDEX(T_Depts[מחלקה],14),"")</f>
        <v/>
      </c>
      <c r="B23" s="64" t="n">
        <f aca="false">IFERROR(SUMPRODUCT((T_Standards[מחלקה]=$A23)*(T_Standards[משמרת]="בוקר")*T_Standards[תקן]),0)</f>
        <v>0</v>
      </c>
      <c r="C23" s="154" t="n">
        <f aca="false">IFERROR(COUNTIFS(T_Assign[תאריך],הגדרות!$C$3,T_Assign[משמרת],"בוקר",T_Assign[מחלקה],$A23),0)</f>
        <v>0</v>
      </c>
      <c r="D23" s="64" t="n">
        <f aca="false">IFERROR(SUMPRODUCT((T_Standards[מחלקה]=$A23)*(T_Standards[משמרת]="אמצע")*T_Standards[תקן]),0)</f>
        <v>0</v>
      </c>
      <c r="E23" s="154" t="n">
        <f aca="false">IFERROR(COUNTIFS(T_Assign[תאריך],הגדרות!$C$3,T_Assign[משמרת],"אמצע",T_Assign[מחלקה],$A23),0)</f>
        <v>0</v>
      </c>
      <c r="F23" s="64" t="n">
        <f aca="false">IFERROR(SUMPRODUCT((T_Standards[מחלקה]=$A23)*(T_Standards[משמרת]="ערב")*T_Standards[תקן]),0)</f>
        <v>0</v>
      </c>
      <c r="G23" s="154" t="n">
        <f aca="false">IFERROR(COUNTIFS(T_Assign[תאריך],הגדרות!$C$3,T_Assign[משמרת],"ערב",T_Assign[מחלקה],$A23),0)</f>
        <v>0</v>
      </c>
      <c r="H23" s="151" t="n">
        <f aca="false">IFERROR(SUM(B23,D23,F23),0)</f>
        <v>0</v>
      </c>
      <c r="I23" s="152" t="n">
        <f aca="false">IFERROR(SUM(C23,E23,G23),0)</f>
        <v>0</v>
      </c>
      <c r="J23" s="64" t="n">
        <f aca="false">IFERROR(H23-I23,0)</f>
        <v>0</v>
      </c>
      <c r="K23" s="155" t="str">
        <f aca="false">IFERROR(IF($A23="","",IF(J23=0,"✓ מאויש",IF(J23&gt;0,"⚠ חוסר","↑ עודף"))),"")</f>
        <v/>
      </c>
    </row>
    <row r="24" customFormat="false" ht="15" hidden="false" customHeight="true" outlineLevel="0" collapsed="false">
      <c r="A24" s="59" t="str">
        <f aca="false">IFERROR(INDEX(T_Depts[מחלקה],15),"")</f>
        <v/>
      </c>
      <c r="B24" s="34" t="n">
        <f aca="false">IFERROR(SUMPRODUCT((T_Standards[מחלקה]=$A24)*(T_Standards[משמרת]="בוקר")*T_Standards[תקן]),0)</f>
        <v>0</v>
      </c>
      <c r="C24" s="150" t="n">
        <f aca="false">IFERROR(COUNTIFS(T_Assign[תאריך],הגדרות!$C$3,T_Assign[משמרת],"בוקר",T_Assign[מחלקה],$A24),0)</f>
        <v>0</v>
      </c>
      <c r="D24" s="34" t="n">
        <f aca="false">IFERROR(SUMPRODUCT((T_Standards[מחלקה]=$A24)*(T_Standards[משמרת]="אמצע")*T_Standards[תקן]),0)</f>
        <v>0</v>
      </c>
      <c r="E24" s="150" t="n">
        <f aca="false">IFERROR(COUNTIFS(T_Assign[תאריך],הגדרות!$C$3,T_Assign[משמרת],"אמצע",T_Assign[מחלקה],$A24),0)</f>
        <v>0</v>
      </c>
      <c r="F24" s="34" t="n">
        <f aca="false">IFERROR(SUMPRODUCT((T_Standards[מחלקה]=$A24)*(T_Standards[משמרת]="ערב")*T_Standards[תקן]),0)</f>
        <v>0</v>
      </c>
      <c r="G24" s="150" t="n">
        <f aca="false">IFERROR(COUNTIFS(T_Assign[תאריך],הגדרות!$C$3,T_Assign[משמרת],"ערב",T_Assign[מחלקה],$A24),0)</f>
        <v>0</v>
      </c>
      <c r="H24" s="151" t="n">
        <f aca="false">IFERROR(SUM(B24,D24,F24),0)</f>
        <v>0</v>
      </c>
      <c r="I24" s="152" t="n">
        <f aca="false">IFERROR(SUM(C24,E24,G24),0)</f>
        <v>0</v>
      </c>
      <c r="J24" s="34" t="n">
        <f aca="false">IFERROR(H24-I24,0)</f>
        <v>0</v>
      </c>
      <c r="K24" s="153" t="str">
        <f aca="false">IFERROR(IF($A24="","",IF(J24=0,"✓ מאויש",IF(J24&gt;0,"⚠ חוסר","↑ עודף"))),"")</f>
        <v/>
      </c>
    </row>
    <row r="25" customFormat="false" ht="15" hidden="false" customHeight="true" outlineLevel="0" collapsed="false">
      <c r="A25" s="19" t="s">
        <v>59</v>
      </c>
      <c r="B25" s="53" t="n">
        <f aca="false">IFERROR(SUM(B10:B24),0)</f>
        <v>0</v>
      </c>
      <c r="C25" s="53" t="n">
        <f aca="false">IFERROR(SUM(C10:C24),0)</f>
        <v>0</v>
      </c>
      <c r="D25" s="53" t="n">
        <f aca="false">IFERROR(SUM(D10:D24),0)</f>
        <v>0</v>
      </c>
      <c r="E25" s="53" t="n">
        <f aca="false">IFERROR(SUM(E10:E24),0)</f>
        <v>0</v>
      </c>
      <c r="F25" s="53" t="n">
        <f aca="false">IFERROR(SUM(F10:F24),0)</f>
        <v>0</v>
      </c>
      <c r="G25" s="53" t="n">
        <f aca="false">IFERROR(SUM(G10:G24),0)</f>
        <v>0</v>
      </c>
      <c r="H25" s="53" t="n">
        <f aca="false">IFERROR(SUM(H10:H24),0)</f>
        <v>0</v>
      </c>
      <c r="I25" s="53" t="n">
        <f aca="false">IFERROR(SUM(I10:I24),0)</f>
        <v>0</v>
      </c>
      <c r="J25" s="53" t="n">
        <f aca="false">IFERROR(SUM(J10:J24),0)</f>
        <v>0</v>
      </c>
      <c r="K25" s="54"/>
    </row>
    <row r="27" customFormat="false" ht="24" hidden="false" customHeight="true" outlineLevel="0" collapsed="false">
      <c r="A27" s="3" t="s">
        <v>130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8" hidden="false" customHeight="true" outlineLevel="0" collapsed="false">
      <c r="A28" s="58" t="s">
        <v>34</v>
      </c>
      <c r="B28" s="38" t="s">
        <v>12</v>
      </c>
      <c r="C28" s="39" t="s">
        <v>14</v>
      </c>
      <c r="D28" s="40" t="s">
        <v>16</v>
      </c>
      <c r="E28" s="41" t="s">
        <v>88</v>
      </c>
      <c r="F28" s="24" t="s">
        <v>89</v>
      </c>
      <c r="G28" s="24" t="s">
        <v>49</v>
      </c>
      <c r="H28" s="156" t="s">
        <v>131</v>
      </c>
    </row>
    <row r="29" customFormat="false" ht="15" hidden="false" customHeight="true" outlineLevel="0" collapsed="false">
      <c r="A29" s="59" t="str">
        <f aca="false">IFERROR(INDEX(T_Depts[מחלקה],1),"")</f>
        <v/>
      </c>
      <c r="B29" s="157" t="n">
        <f aca="false">IFERROR(COUNTIFS(T_Assign[תאריך],"&gt;="&amp;הגדרות!$C$3,T_Assign[תאריך],"&lt;="&amp;הגדרות!$C$3+6,T_Assign[משמרת],"בוקר",T_Assign[מחלקה],$A29),0)</f>
        <v>0</v>
      </c>
      <c r="C29" s="157" t="n">
        <f aca="false">IFERROR(COUNTIFS(T_Assign[תאריך],"&gt;="&amp;הגדרות!$C$3,T_Assign[תאריך],"&lt;="&amp;הגדרות!$C$3+6,T_Assign[משמרת],"אמצע",T_Assign[מחלקה],$A29),0)</f>
        <v>0</v>
      </c>
      <c r="D29" s="157" t="n">
        <f aca="false">IFERROR(COUNTIFS(T_Assign[תאריך],"&gt;="&amp;הגדרות!$C$3,T_Assign[תאריך],"&lt;="&amp;הגדרות!$C$3+6,T_Assign[משמרת],"ערב",T_Assign[מחלקה],$A29),0)</f>
        <v>0</v>
      </c>
      <c r="E29" s="151" t="n">
        <f aca="false">IFERROR(SUM(B29:D29),0)</f>
        <v>0</v>
      </c>
      <c r="F29" s="158" t="n">
        <f aca="false">IFERROR(SUMPRODUCT((T_Standards[מחלקה]=$A29)*T_Standards[תקן])*7,0)</f>
        <v>0</v>
      </c>
      <c r="G29" s="159" t="n">
        <f aca="false">IFERROR(F29-E29,0)</f>
        <v>0</v>
      </c>
      <c r="H29" s="160" t="n">
        <f aca="false">IFERROR(IF(F29=0,0,E29/F29),0)</f>
        <v>0</v>
      </c>
    </row>
    <row r="30" customFormat="false" ht="15" hidden="false" customHeight="true" outlineLevel="0" collapsed="false">
      <c r="A30" s="59" t="str">
        <f aca="false">IFERROR(INDEX(T_Depts[מחלקה],2),"")</f>
        <v/>
      </c>
      <c r="B30" s="161" t="n">
        <f aca="false">IFERROR(COUNTIFS(T_Assign[תאריך],"&gt;="&amp;הגדרות!$C$3,T_Assign[תאריך],"&lt;="&amp;הגדרות!$C$3+6,T_Assign[משמרת],"בוקר",T_Assign[מחלקה],$A30),0)</f>
        <v>0</v>
      </c>
      <c r="C30" s="161" t="n">
        <f aca="false">IFERROR(COUNTIFS(T_Assign[תאריך],"&gt;="&amp;הגדרות!$C$3,T_Assign[תאריך],"&lt;="&amp;הגדרות!$C$3+6,T_Assign[משמרת],"אמצע",T_Assign[מחלקה],$A30),0)</f>
        <v>0</v>
      </c>
      <c r="D30" s="161" t="n">
        <f aca="false">IFERROR(COUNTIFS(T_Assign[תאריך],"&gt;="&amp;הגדרות!$C$3,T_Assign[תאריך],"&lt;="&amp;הגדרות!$C$3+6,T_Assign[משמרת],"ערב",T_Assign[מחלקה],$A30),0)</f>
        <v>0</v>
      </c>
      <c r="E30" s="151" t="n">
        <f aca="false">IFERROR(SUM(B30:D30),0)</f>
        <v>0</v>
      </c>
      <c r="F30" s="162" t="n">
        <f aca="false">IFERROR(SUMPRODUCT((T_Standards[מחלקה]=$A30)*T_Standards[תקן])*7,0)</f>
        <v>0</v>
      </c>
      <c r="G30" s="64" t="n">
        <f aca="false">IFERROR(F30-E30,0)</f>
        <v>0</v>
      </c>
      <c r="H30" s="163" t="n">
        <f aca="false">IFERROR(IF(F30=0,0,E30/F30),0)</f>
        <v>0</v>
      </c>
    </row>
    <row r="31" customFormat="false" ht="15" hidden="false" customHeight="true" outlineLevel="0" collapsed="false">
      <c r="A31" s="59" t="str">
        <f aca="false">IFERROR(INDEX(T_Depts[מחלקה],3),"")</f>
        <v/>
      </c>
      <c r="B31" s="157" t="n">
        <f aca="false">IFERROR(COUNTIFS(T_Assign[תאריך],"&gt;="&amp;הגדרות!$C$3,T_Assign[תאריך],"&lt;="&amp;הגדרות!$C$3+6,T_Assign[משמרת],"בוקר",T_Assign[מחלקה],$A31),0)</f>
        <v>0</v>
      </c>
      <c r="C31" s="157" t="n">
        <f aca="false">IFERROR(COUNTIFS(T_Assign[תאריך],"&gt;="&amp;הגדרות!$C$3,T_Assign[תאריך],"&lt;="&amp;הגדרות!$C$3+6,T_Assign[משמרת],"אמצע",T_Assign[מחלקה],$A31),0)</f>
        <v>0</v>
      </c>
      <c r="D31" s="157" t="n">
        <f aca="false">IFERROR(COUNTIFS(T_Assign[תאריך],"&gt;="&amp;הגדרות!$C$3,T_Assign[תאריך],"&lt;="&amp;הגדרות!$C$3+6,T_Assign[משמרת],"ערב",T_Assign[מחלקה],$A31),0)</f>
        <v>0</v>
      </c>
      <c r="E31" s="151" t="n">
        <f aca="false">IFERROR(SUM(B31:D31),0)</f>
        <v>0</v>
      </c>
      <c r="F31" s="158" t="n">
        <f aca="false">IFERROR(SUMPRODUCT((T_Standards[מחלקה]=$A31)*T_Standards[תקן])*7,0)</f>
        <v>0</v>
      </c>
      <c r="G31" s="159" t="n">
        <f aca="false">IFERROR(F31-E31,0)</f>
        <v>0</v>
      </c>
      <c r="H31" s="160" t="n">
        <f aca="false">IFERROR(IF(F31=0,0,E31/F31),0)</f>
        <v>0</v>
      </c>
    </row>
    <row r="32" customFormat="false" ht="15" hidden="false" customHeight="true" outlineLevel="0" collapsed="false">
      <c r="A32" s="59" t="str">
        <f aca="false">IFERROR(INDEX(T_Depts[מחלקה],4),"")</f>
        <v/>
      </c>
      <c r="B32" s="161" t="n">
        <f aca="false">IFERROR(COUNTIFS(T_Assign[תאריך],"&gt;="&amp;הגדרות!$C$3,T_Assign[תאריך],"&lt;="&amp;הגדרות!$C$3+6,T_Assign[משמרת],"בוקר",T_Assign[מחלקה],$A32),0)</f>
        <v>0</v>
      </c>
      <c r="C32" s="161" t="n">
        <f aca="false">IFERROR(COUNTIFS(T_Assign[תאריך],"&gt;="&amp;הגדרות!$C$3,T_Assign[תאריך],"&lt;="&amp;הגדרות!$C$3+6,T_Assign[משמרת],"אמצע",T_Assign[מחלקה],$A32),0)</f>
        <v>0</v>
      </c>
      <c r="D32" s="161" t="n">
        <f aca="false">IFERROR(COUNTIFS(T_Assign[תאריך],"&gt;="&amp;הגדרות!$C$3,T_Assign[תאריך],"&lt;="&amp;הגדרות!$C$3+6,T_Assign[משמרת],"ערב",T_Assign[מחלקה],$A32),0)</f>
        <v>0</v>
      </c>
      <c r="E32" s="151" t="n">
        <f aca="false">IFERROR(SUM(B32:D32),0)</f>
        <v>0</v>
      </c>
      <c r="F32" s="162" t="n">
        <f aca="false">IFERROR(SUMPRODUCT((T_Standards[מחלקה]=$A32)*T_Standards[תקן])*7,0)</f>
        <v>0</v>
      </c>
      <c r="G32" s="118" t="n">
        <f aca="false">IFERROR(F32-E32,0)</f>
        <v>0</v>
      </c>
      <c r="H32" s="163" t="n">
        <f aca="false">IFERROR(IF(F32=0,0,E32/F32),0)</f>
        <v>0</v>
      </c>
    </row>
    <row r="33" customFormat="false" ht="15" hidden="false" customHeight="true" outlineLevel="0" collapsed="false">
      <c r="A33" s="59" t="str">
        <f aca="false">IFERROR(INDEX(T_Depts[מחלקה],5),"")</f>
        <v/>
      </c>
      <c r="B33" s="157" t="n">
        <f aca="false">IFERROR(COUNTIFS(T_Assign[תאריך],"&gt;="&amp;הגדרות!$C$3,T_Assign[תאריך],"&lt;="&amp;הגדרות!$C$3+6,T_Assign[משמרת],"בוקר",T_Assign[מחלקה],$A33),0)</f>
        <v>0</v>
      </c>
      <c r="C33" s="157" t="n">
        <f aca="false">IFERROR(COUNTIFS(T_Assign[תאריך],"&gt;="&amp;הגדרות!$C$3,T_Assign[תאריך],"&lt;="&amp;הגדרות!$C$3+6,T_Assign[משמרת],"אמצע",T_Assign[מחלקה],$A33),0)</f>
        <v>0</v>
      </c>
      <c r="D33" s="157" t="n">
        <f aca="false">IFERROR(COUNTIFS(T_Assign[תאריך],"&gt;="&amp;הגדרות!$C$3,T_Assign[תאריך],"&lt;="&amp;הגדרות!$C$3+6,T_Assign[משמרת],"ערב",T_Assign[מחלקה],$A33),0)</f>
        <v>0</v>
      </c>
      <c r="E33" s="151" t="n">
        <f aca="false">IFERROR(SUM(B33:D33),0)</f>
        <v>0</v>
      </c>
      <c r="F33" s="158" t="n">
        <f aca="false">IFERROR(SUMPRODUCT((T_Standards[מחלקה]=$A33)*T_Standards[תקן])*7,0)</f>
        <v>0</v>
      </c>
      <c r="G33" s="159" t="n">
        <f aca="false">IFERROR(F33-E33,0)</f>
        <v>0</v>
      </c>
      <c r="H33" s="160" t="n">
        <f aca="false">IFERROR(IF(F33=0,0,E33/F33),0)</f>
        <v>0</v>
      </c>
    </row>
    <row r="34" customFormat="false" ht="15" hidden="false" customHeight="true" outlineLevel="0" collapsed="false">
      <c r="A34" s="59" t="str">
        <f aca="false">IFERROR(INDEX(T_Depts[מחלקה],6),"")</f>
        <v/>
      </c>
      <c r="B34" s="161" t="n">
        <f aca="false">IFERROR(COUNTIFS(T_Assign[תאריך],"&gt;="&amp;הגדרות!$C$3,T_Assign[תאריך],"&lt;="&amp;הגדרות!$C$3+6,T_Assign[משמרת],"בוקר",T_Assign[מחלקה],$A34),0)</f>
        <v>0</v>
      </c>
      <c r="C34" s="161" t="n">
        <f aca="false">IFERROR(COUNTIFS(T_Assign[תאריך],"&gt;="&amp;הגדרות!$C$3,T_Assign[תאריך],"&lt;="&amp;הגדרות!$C$3+6,T_Assign[משמרת],"אמצע",T_Assign[מחלקה],$A34),0)</f>
        <v>0</v>
      </c>
      <c r="D34" s="161" t="n">
        <f aca="false">IFERROR(COUNTIFS(T_Assign[תאריך],"&gt;="&amp;הגדרות!$C$3,T_Assign[תאריך],"&lt;="&amp;הגדרות!$C$3+6,T_Assign[משמרת],"ערב",T_Assign[מחלקה],$A34),0)</f>
        <v>0</v>
      </c>
      <c r="E34" s="151" t="n">
        <f aca="false">IFERROR(SUM(B34:D34),0)</f>
        <v>0</v>
      </c>
      <c r="F34" s="162" t="n">
        <f aca="false">IFERROR(SUMPRODUCT((T_Standards[מחלקה]=$A34)*T_Standards[תקן])*7,0)</f>
        <v>0</v>
      </c>
      <c r="G34" s="64" t="n">
        <f aca="false">IFERROR(F34-E34,0)</f>
        <v>0</v>
      </c>
      <c r="H34" s="163" t="n">
        <f aca="false">IFERROR(IF(F34=0,0,E34/F34),0)</f>
        <v>0</v>
      </c>
    </row>
    <row r="35" customFormat="false" ht="15" hidden="false" customHeight="true" outlineLevel="0" collapsed="false">
      <c r="A35" s="59" t="str">
        <f aca="false">IFERROR(INDEX(T_Depts[מחלקה],7),"")</f>
        <v/>
      </c>
      <c r="B35" s="157" t="n">
        <f aca="false">IFERROR(COUNTIFS(T_Assign[תאריך],"&gt;="&amp;הגדרות!$C$3,T_Assign[תאריך],"&lt;="&amp;הגדרות!$C$3+6,T_Assign[משמרת],"בוקר",T_Assign[מחלקה],$A35),0)</f>
        <v>0</v>
      </c>
      <c r="C35" s="157" t="n">
        <f aca="false">IFERROR(COUNTIFS(T_Assign[תאריך],"&gt;="&amp;הגדרות!$C$3,T_Assign[תאריך],"&lt;="&amp;הגדרות!$C$3+6,T_Assign[משמרת],"אמצע",T_Assign[מחלקה],$A35),0)</f>
        <v>0</v>
      </c>
      <c r="D35" s="157" t="n">
        <f aca="false">IFERROR(COUNTIFS(T_Assign[תאריך],"&gt;="&amp;הגדרות!$C$3,T_Assign[תאריך],"&lt;="&amp;הגדרות!$C$3+6,T_Assign[משמרת],"ערב",T_Assign[מחלקה],$A35),0)</f>
        <v>0</v>
      </c>
      <c r="E35" s="151" t="n">
        <f aca="false">IFERROR(SUM(B35:D35),0)</f>
        <v>0</v>
      </c>
      <c r="F35" s="158" t="n">
        <f aca="false">IFERROR(SUMPRODUCT((T_Standards[מחלקה]=$A35)*T_Standards[תקן])*7,0)</f>
        <v>0</v>
      </c>
      <c r="G35" s="159" t="n">
        <f aca="false">IFERROR(F35-E35,0)</f>
        <v>0</v>
      </c>
      <c r="H35" s="160" t="n">
        <f aca="false">IFERROR(IF(F35=0,0,E35/F35),0)</f>
        <v>0</v>
      </c>
    </row>
    <row r="36" customFormat="false" ht="15" hidden="false" customHeight="true" outlineLevel="0" collapsed="false">
      <c r="A36" s="59" t="str">
        <f aca="false">IFERROR(INDEX(T_Depts[מחלקה],8),"")</f>
        <v/>
      </c>
      <c r="B36" s="161" t="n">
        <f aca="false">IFERROR(COUNTIFS(T_Assign[תאריך],"&gt;="&amp;הגדרות!$C$3,T_Assign[תאריך],"&lt;="&amp;הגדרות!$C$3+6,T_Assign[משמרת],"בוקר",T_Assign[מחלקה],$A36),0)</f>
        <v>0</v>
      </c>
      <c r="C36" s="161" t="n">
        <f aca="false">IFERROR(COUNTIFS(T_Assign[תאריך],"&gt;="&amp;הגדרות!$C$3,T_Assign[תאריך],"&lt;="&amp;הגדרות!$C$3+6,T_Assign[משמרת],"אמצע",T_Assign[מחלקה],$A36),0)</f>
        <v>0</v>
      </c>
      <c r="D36" s="161" t="n">
        <f aca="false">IFERROR(COUNTIFS(T_Assign[תאריך],"&gt;="&amp;הגדרות!$C$3,T_Assign[תאריך],"&lt;="&amp;הגדרות!$C$3+6,T_Assign[משמרת],"ערב",T_Assign[מחלקה],$A36),0)</f>
        <v>0</v>
      </c>
      <c r="E36" s="151" t="n">
        <f aca="false">IFERROR(SUM(B36:D36),0)</f>
        <v>0</v>
      </c>
      <c r="F36" s="162" t="n">
        <f aca="false">IFERROR(SUMPRODUCT((T_Standards[מחלקה]=$A36)*T_Standards[תקן])*7,0)</f>
        <v>0</v>
      </c>
      <c r="G36" s="118" t="n">
        <f aca="false">IFERROR(F36-E36,0)</f>
        <v>0</v>
      </c>
      <c r="H36" s="163" t="n">
        <f aca="false">IFERROR(IF(F36=0,0,E36/F36),0)</f>
        <v>0</v>
      </c>
    </row>
    <row r="37" customFormat="false" ht="15" hidden="false" customHeight="true" outlineLevel="0" collapsed="false">
      <c r="A37" s="59" t="str">
        <f aca="false">IFERROR(INDEX(T_Depts[מחלקה],9),"")</f>
        <v/>
      </c>
      <c r="B37" s="157" t="n">
        <f aca="false">IFERROR(COUNTIFS(T_Assign[תאריך],"&gt;="&amp;הגדרות!$C$3,T_Assign[תאריך],"&lt;="&amp;הגדרות!$C$3+6,T_Assign[משמרת],"בוקר",T_Assign[מחלקה],$A37),0)</f>
        <v>0</v>
      </c>
      <c r="C37" s="157" t="n">
        <f aca="false">IFERROR(COUNTIFS(T_Assign[תאריך],"&gt;="&amp;הגדרות!$C$3,T_Assign[תאריך],"&lt;="&amp;הגדרות!$C$3+6,T_Assign[משמרת],"אמצע",T_Assign[מחלקה],$A37),0)</f>
        <v>0</v>
      </c>
      <c r="D37" s="157" t="n">
        <f aca="false">IFERROR(COUNTIFS(T_Assign[תאריך],"&gt;="&amp;הגדרות!$C$3,T_Assign[תאריך],"&lt;="&amp;הגדרות!$C$3+6,T_Assign[משמרת],"ערב",T_Assign[מחלקה],$A37),0)</f>
        <v>0</v>
      </c>
      <c r="E37" s="151" t="n">
        <f aca="false">IFERROR(SUM(B37:D37),0)</f>
        <v>0</v>
      </c>
      <c r="F37" s="158" t="n">
        <f aca="false">IFERROR(SUMPRODUCT((T_Standards[מחלקה]=$A37)*T_Standards[תקן])*7,0)</f>
        <v>0</v>
      </c>
      <c r="G37" s="159" t="n">
        <f aca="false">IFERROR(F37-E37,0)</f>
        <v>0</v>
      </c>
      <c r="H37" s="160" t="n">
        <f aca="false">IFERROR(IF(F37=0,0,E37/F37),0)</f>
        <v>0</v>
      </c>
    </row>
    <row r="38" customFormat="false" ht="15" hidden="false" customHeight="true" outlineLevel="0" collapsed="false">
      <c r="A38" s="59" t="str">
        <f aca="false">IFERROR(INDEX(T_Depts[מחלקה],10),"")</f>
        <v/>
      </c>
      <c r="B38" s="161" t="n">
        <f aca="false">IFERROR(COUNTIFS(T_Assign[תאריך],"&gt;="&amp;הגדרות!$C$3,T_Assign[תאריך],"&lt;="&amp;הגדרות!$C$3+6,T_Assign[משמרת],"בוקר",T_Assign[מחלקה],$A38),0)</f>
        <v>0</v>
      </c>
      <c r="C38" s="161" t="n">
        <f aca="false">IFERROR(COUNTIFS(T_Assign[תאריך],"&gt;="&amp;הגדרות!$C$3,T_Assign[תאריך],"&lt;="&amp;הגדרות!$C$3+6,T_Assign[משמרת],"אמצע",T_Assign[מחלקה],$A38),0)</f>
        <v>0</v>
      </c>
      <c r="D38" s="161" t="n">
        <f aca="false">IFERROR(COUNTIFS(T_Assign[תאריך],"&gt;="&amp;הגדרות!$C$3,T_Assign[תאריך],"&lt;="&amp;הגדרות!$C$3+6,T_Assign[משמרת],"ערב",T_Assign[מחלקה],$A38),0)</f>
        <v>0</v>
      </c>
      <c r="E38" s="151" t="n">
        <f aca="false">IFERROR(SUM(B38:D38),0)</f>
        <v>0</v>
      </c>
      <c r="F38" s="162" t="n">
        <f aca="false">IFERROR(SUMPRODUCT((T_Standards[מחלקה]=$A38)*T_Standards[תקן])*7,0)</f>
        <v>0</v>
      </c>
      <c r="G38" s="64" t="n">
        <f aca="false">IFERROR(F38-E38,0)</f>
        <v>0</v>
      </c>
      <c r="H38" s="163" t="n">
        <f aca="false">IFERROR(IF(F38=0,0,E38/F38),0)</f>
        <v>0</v>
      </c>
    </row>
    <row r="39" customFormat="false" ht="15" hidden="false" customHeight="true" outlineLevel="0" collapsed="false">
      <c r="A39" s="59" t="str">
        <f aca="false">IFERROR(INDEX(T_Depts[מחלקה],11),"")</f>
        <v/>
      </c>
      <c r="B39" s="157" t="n">
        <f aca="false">IFERROR(COUNTIFS(T_Assign[תאריך],"&gt;="&amp;הגדרות!$C$3,T_Assign[תאריך],"&lt;="&amp;הגדרות!$C$3+6,T_Assign[משמרת],"בוקר",T_Assign[מחלקה],$A39),0)</f>
        <v>0</v>
      </c>
      <c r="C39" s="157" t="n">
        <f aca="false">IFERROR(COUNTIFS(T_Assign[תאריך],"&gt;="&amp;הגדרות!$C$3,T_Assign[תאריך],"&lt;="&amp;הגדרות!$C$3+6,T_Assign[משמרת],"אמצע",T_Assign[מחלקה],$A39),0)</f>
        <v>0</v>
      </c>
      <c r="D39" s="157" t="n">
        <f aca="false">IFERROR(COUNTIFS(T_Assign[תאריך],"&gt;="&amp;הגדרות!$C$3,T_Assign[תאריך],"&lt;="&amp;הגדרות!$C$3+6,T_Assign[משמרת],"ערב",T_Assign[מחלקה],$A39),0)</f>
        <v>0</v>
      </c>
      <c r="E39" s="151" t="n">
        <f aca="false">IFERROR(SUM(B39:D39),0)</f>
        <v>0</v>
      </c>
      <c r="F39" s="158" t="n">
        <f aca="false">IFERROR(SUMPRODUCT((T_Standards[מחלקה]=$A39)*T_Standards[תקן])*7,0)</f>
        <v>0</v>
      </c>
      <c r="G39" s="159" t="n">
        <f aca="false">IFERROR(F39-E39,0)</f>
        <v>0</v>
      </c>
      <c r="H39" s="160" t="n">
        <f aca="false">IFERROR(IF(F39=0,0,E39/F39),0)</f>
        <v>0</v>
      </c>
    </row>
    <row r="40" customFormat="false" ht="15" hidden="false" customHeight="true" outlineLevel="0" collapsed="false">
      <c r="A40" s="59" t="str">
        <f aca="false">IFERROR(INDEX(T_Depts[מחלקה],12),"")</f>
        <v/>
      </c>
      <c r="B40" s="161" t="n">
        <f aca="false">IFERROR(COUNTIFS(T_Assign[תאריך],"&gt;="&amp;הגדרות!$C$3,T_Assign[תאריך],"&lt;="&amp;הגדרות!$C$3+6,T_Assign[משמרת],"בוקר",T_Assign[מחלקה],$A40),0)</f>
        <v>0</v>
      </c>
      <c r="C40" s="161" t="n">
        <f aca="false">IFERROR(COUNTIFS(T_Assign[תאריך],"&gt;="&amp;הגדרות!$C$3,T_Assign[תאריך],"&lt;="&amp;הגדרות!$C$3+6,T_Assign[משמרת],"אמצע",T_Assign[מחלקה],$A40),0)</f>
        <v>0</v>
      </c>
      <c r="D40" s="161" t="n">
        <f aca="false">IFERROR(COUNTIFS(T_Assign[תאריך],"&gt;="&amp;הגדרות!$C$3,T_Assign[תאריך],"&lt;="&amp;הגדרות!$C$3+6,T_Assign[משמרת],"ערב",T_Assign[מחלקה],$A40),0)</f>
        <v>0</v>
      </c>
      <c r="E40" s="151" t="n">
        <f aca="false">IFERROR(SUM(B40:D40),0)</f>
        <v>0</v>
      </c>
      <c r="F40" s="162" t="n">
        <f aca="false">IFERROR(SUMPRODUCT((T_Standards[מחלקה]=$A40)*T_Standards[תקן])*7,0)</f>
        <v>0</v>
      </c>
      <c r="G40" s="118" t="n">
        <f aca="false">IFERROR(F40-E40,0)</f>
        <v>0</v>
      </c>
      <c r="H40" s="163" t="n">
        <f aca="false">IFERROR(IF(F40=0,0,E40/F40),0)</f>
        <v>0</v>
      </c>
    </row>
    <row r="41" customFormat="false" ht="15" hidden="false" customHeight="true" outlineLevel="0" collapsed="false">
      <c r="A41" s="59" t="str">
        <f aca="false">IFERROR(INDEX(T_Depts[מחלקה],13),"")</f>
        <v/>
      </c>
      <c r="B41" s="157" t="n">
        <f aca="false">IFERROR(COUNTIFS(T_Assign[תאריך],"&gt;="&amp;הגדרות!$C$3,T_Assign[תאריך],"&lt;="&amp;הגדרות!$C$3+6,T_Assign[משמרת],"בוקר",T_Assign[מחלקה],$A41),0)</f>
        <v>0</v>
      </c>
      <c r="C41" s="157" t="n">
        <f aca="false">IFERROR(COUNTIFS(T_Assign[תאריך],"&gt;="&amp;הגדרות!$C$3,T_Assign[תאריך],"&lt;="&amp;הגדרות!$C$3+6,T_Assign[משמרת],"אמצע",T_Assign[מחלקה],$A41),0)</f>
        <v>0</v>
      </c>
      <c r="D41" s="157" t="n">
        <f aca="false">IFERROR(COUNTIFS(T_Assign[תאריך],"&gt;="&amp;הגדרות!$C$3,T_Assign[תאריך],"&lt;="&amp;הגדרות!$C$3+6,T_Assign[משמרת],"ערב",T_Assign[מחלקה],$A41),0)</f>
        <v>0</v>
      </c>
      <c r="E41" s="151" t="n">
        <f aca="false">IFERROR(SUM(B41:D41),0)</f>
        <v>0</v>
      </c>
      <c r="F41" s="158" t="n">
        <f aca="false">IFERROR(SUMPRODUCT((T_Standards[מחלקה]=$A41)*T_Standards[תקן])*7,0)</f>
        <v>0</v>
      </c>
      <c r="G41" s="159" t="n">
        <f aca="false">IFERROR(F41-E41,0)</f>
        <v>0</v>
      </c>
      <c r="H41" s="160" t="n">
        <f aca="false">IFERROR(IF(F41=0,0,E41/F41),0)</f>
        <v>0</v>
      </c>
    </row>
    <row r="42" customFormat="false" ht="15" hidden="false" customHeight="true" outlineLevel="0" collapsed="false">
      <c r="A42" s="59" t="str">
        <f aca="false">IFERROR(INDEX(T_Depts[מחלקה],14),"")</f>
        <v/>
      </c>
      <c r="B42" s="161" t="n">
        <f aca="false">IFERROR(COUNTIFS(T_Assign[תאריך],"&gt;="&amp;הגדרות!$C$3,T_Assign[תאריך],"&lt;="&amp;הגדרות!$C$3+6,T_Assign[משמרת],"בוקר",T_Assign[מחלקה],$A42),0)</f>
        <v>0</v>
      </c>
      <c r="C42" s="161" t="n">
        <f aca="false">IFERROR(COUNTIFS(T_Assign[תאריך],"&gt;="&amp;הגדרות!$C$3,T_Assign[תאריך],"&lt;="&amp;הגדרות!$C$3+6,T_Assign[משמרת],"אמצע",T_Assign[מחלקה],$A42),0)</f>
        <v>0</v>
      </c>
      <c r="D42" s="161" t="n">
        <f aca="false">IFERROR(COUNTIFS(T_Assign[תאריך],"&gt;="&amp;הגדרות!$C$3,T_Assign[תאריך],"&lt;="&amp;הגדרות!$C$3+6,T_Assign[משמרת],"ערב",T_Assign[מחלקה],$A42),0)</f>
        <v>0</v>
      </c>
      <c r="E42" s="151" t="n">
        <f aca="false">IFERROR(SUM(B42:D42),0)</f>
        <v>0</v>
      </c>
      <c r="F42" s="162" t="n">
        <f aca="false">IFERROR(SUMPRODUCT((T_Standards[מחלקה]=$A42)*T_Standards[תקן])*7,0)</f>
        <v>0</v>
      </c>
      <c r="G42" s="64" t="n">
        <f aca="false">IFERROR(F42-E42,0)</f>
        <v>0</v>
      </c>
      <c r="H42" s="163" t="n">
        <f aca="false">IFERROR(IF(F42=0,0,E42/F42),0)</f>
        <v>0</v>
      </c>
    </row>
    <row r="43" customFormat="false" ht="15" hidden="false" customHeight="true" outlineLevel="0" collapsed="false">
      <c r="A43" s="59" t="str">
        <f aca="false">IFERROR(INDEX(T_Depts[מחלקה],15),"")</f>
        <v/>
      </c>
      <c r="B43" s="157" t="n">
        <f aca="false">IFERROR(COUNTIFS(T_Assign[תאריך],"&gt;="&amp;הגדרות!$C$3,T_Assign[תאריך],"&lt;="&amp;הגדרות!$C$3+6,T_Assign[משמרת],"בוקר",T_Assign[מחלקה],$A43),0)</f>
        <v>0</v>
      </c>
      <c r="C43" s="157" t="n">
        <f aca="false">IFERROR(COUNTIFS(T_Assign[תאריך],"&gt;="&amp;הגדרות!$C$3,T_Assign[תאריך],"&lt;="&amp;הגדרות!$C$3+6,T_Assign[משמרת],"אמצע",T_Assign[מחלקה],$A43),0)</f>
        <v>0</v>
      </c>
      <c r="D43" s="157" t="n">
        <f aca="false">IFERROR(COUNTIFS(T_Assign[תאריך],"&gt;="&amp;הגדרות!$C$3,T_Assign[תאריך],"&lt;="&amp;הגדרות!$C$3+6,T_Assign[משמרת],"ערב",T_Assign[מחלקה],$A43),0)</f>
        <v>0</v>
      </c>
      <c r="E43" s="151" t="n">
        <f aca="false">IFERROR(SUM(B43:D43),0)</f>
        <v>0</v>
      </c>
      <c r="F43" s="158" t="n">
        <f aca="false">IFERROR(SUMPRODUCT((T_Standards[מחלקה]=$A43)*T_Standards[תקן])*7,0)</f>
        <v>0</v>
      </c>
      <c r="G43" s="159" t="n">
        <f aca="false">IFERROR(F43-E43,0)</f>
        <v>0</v>
      </c>
      <c r="H43" s="160" t="n">
        <f aca="false">IFERROR(IF(F43=0,0,E43/F43),0)</f>
        <v>0</v>
      </c>
    </row>
    <row r="44" customFormat="false" ht="15" hidden="false" customHeight="true" outlineLevel="0" collapsed="false">
      <c r="A44" s="19" t="s">
        <v>59</v>
      </c>
      <c r="B44" s="53" t="n">
        <f aca="false">IFERROR(SUM(B29:B43),0)</f>
        <v>0</v>
      </c>
      <c r="C44" s="53" t="n">
        <f aca="false">IFERROR(SUM(C29:C43),0)</f>
        <v>0</v>
      </c>
      <c r="D44" s="53" t="n">
        <f aca="false">IFERROR(SUM(D29:D43),0)</f>
        <v>0</v>
      </c>
      <c r="E44" s="53" t="n">
        <f aca="false">IFERROR(SUM(E29:E43),0)</f>
        <v>0</v>
      </c>
      <c r="F44" s="53" t="n">
        <f aca="false">IFERROR(SUM(F29:F43),0)</f>
        <v>0</v>
      </c>
      <c r="G44" s="53" t="n">
        <f aca="false">IFERROR(SUM(G29:G43),0)</f>
        <v>0</v>
      </c>
      <c r="H44" s="164"/>
    </row>
    <row r="46" customFormat="false" ht="25.5" hidden="false" customHeight="true" outlineLevel="0" collapsed="false">
      <c r="A46" s="165" t="s">
        <v>132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</row>
  </sheetData>
  <mergeCells count="23">
    <mergeCell ref="A1:R1"/>
    <mergeCell ref="A2:R2"/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8:R8"/>
    <mergeCell ref="A27:R27"/>
    <mergeCell ref="A46:R46"/>
  </mergeCells>
  <conditionalFormatting sqref="K10">
    <cfRule type="expression" priority="2" aboveAverage="0" equalAverage="0" bottom="0" percent="0" rank="0" text="" dxfId="11">
      <formula>K10="✓ מאויש"</formula>
    </cfRule>
    <cfRule type="expression" priority="3" aboveAverage="0" equalAverage="0" bottom="0" percent="0" rank="0" text="" dxfId="12">
      <formula>ISNUMBER(SEARCH("חוסר",K10))</formula>
    </cfRule>
    <cfRule type="expression" priority="4" aboveAverage="0" equalAverage="0" bottom="0" percent="0" rank="0" text="" dxfId="13">
      <formula>ISNUMBER(SEARCH("עודף",K10))</formula>
    </cfRule>
  </conditionalFormatting>
  <conditionalFormatting sqref="K11">
    <cfRule type="expression" priority="5" aboveAverage="0" equalAverage="0" bottom="0" percent="0" rank="0" text="" dxfId="11">
      <formula>K11="✓ מאויש"</formula>
    </cfRule>
    <cfRule type="expression" priority="6" aboveAverage="0" equalAverage="0" bottom="0" percent="0" rank="0" text="" dxfId="12">
      <formula>ISNUMBER(SEARCH("חוסר",K11))</formula>
    </cfRule>
    <cfRule type="expression" priority="7" aboveAverage="0" equalAverage="0" bottom="0" percent="0" rank="0" text="" dxfId="13">
      <formula>ISNUMBER(SEARCH("עודף",K11))</formula>
    </cfRule>
  </conditionalFormatting>
  <conditionalFormatting sqref="K12">
    <cfRule type="expression" priority="8" aboveAverage="0" equalAverage="0" bottom="0" percent="0" rank="0" text="" dxfId="11">
      <formula>K12="✓ מאויש"</formula>
    </cfRule>
    <cfRule type="expression" priority="9" aboveAverage="0" equalAverage="0" bottom="0" percent="0" rank="0" text="" dxfId="12">
      <formula>ISNUMBER(SEARCH("חוסר",K12))</formula>
    </cfRule>
    <cfRule type="expression" priority="10" aboveAverage="0" equalAverage="0" bottom="0" percent="0" rank="0" text="" dxfId="13">
      <formula>ISNUMBER(SEARCH("עודף",K12))</formula>
    </cfRule>
  </conditionalFormatting>
  <conditionalFormatting sqref="K13">
    <cfRule type="expression" priority="11" aboveAverage="0" equalAverage="0" bottom="0" percent="0" rank="0" text="" dxfId="11">
      <formula>K13="✓ מאויש"</formula>
    </cfRule>
    <cfRule type="expression" priority="12" aboveAverage="0" equalAverage="0" bottom="0" percent="0" rank="0" text="" dxfId="12">
      <formula>ISNUMBER(SEARCH("חוסר",K13))</formula>
    </cfRule>
    <cfRule type="expression" priority="13" aboveAverage="0" equalAverage="0" bottom="0" percent="0" rank="0" text="" dxfId="13">
      <formula>ISNUMBER(SEARCH("עודף",K13))</formula>
    </cfRule>
  </conditionalFormatting>
  <conditionalFormatting sqref="K14">
    <cfRule type="expression" priority="14" aboveAverage="0" equalAverage="0" bottom="0" percent="0" rank="0" text="" dxfId="11">
      <formula>K14="✓ מאויש"</formula>
    </cfRule>
    <cfRule type="expression" priority="15" aboveAverage="0" equalAverage="0" bottom="0" percent="0" rank="0" text="" dxfId="12">
      <formula>ISNUMBER(SEARCH("חוסר",K14))</formula>
    </cfRule>
    <cfRule type="expression" priority="16" aboveAverage="0" equalAverage="0" bottom="0" percent="0" rank="0" text="" dxfId="13">
      <formula>ISNUMBER(SEARCH("עודף",K14))</formula>
    </cfRule>
  </conditionalFormatting>
  <conditionalFormatting sqref="K15">
    <cfRule type="expression" priority="17" aboveAverage="0" equalAverage="0" bottom="0" percent="0" rank="0" text="" dxfId="11">
      <formula>K15="✓ מאויש"</formula>
    </cfRule>
    <cfRule type="expression" priority="18" aboveAverage="0" equalAverage="0" bottom="0" percent="0" rank="0" text="" dxfId="12">
      <formula>ISNUMBER(SEARCH("חוסר",K15))</formula>
    </cfRule>
    <cfRule type="expression" priority="19" aboveAverage="0" equalAverage="0" bottom="0" percent="0" rank="0" text="" dxfId="13">
      <formula>ISNUMBER(SEARCH("עודף",K15))</formula>
    </cfRule>
  </conditionalFormatting>
  <conditionalFormatting sqref="K16">
    <cfRule type="expression" priority="20" aboveAverage="0" equalAverage="0" bottom="0" percent="0" rank="0" text="" dxfId="11">
      <formula>K16="✓ מאויש"</formula>
    </cfRule>
    <cfRule type="expression" priority="21" aboveAverage="0" equalAverage="0" bottom="0" percent="0" rank="0" text="" dxfId="12">
      <formula>ISNUMBER(SEARCH("חוסר",K16))</formula>
    </cfRule>
    <cfRule type="expression" priority="22" aboveAverage="0" equalAverage="0" bottom="0" percent="0" rank="0" text="" dxfId="13">
      <formula>ISNUMBER(SEARCH("עודף",K16))</formula>
    </cfRule>
  </conditionalFormatting>
  <conditionalFormatting sqref="K17">
    <cfRule type="expression" priority="23" aboveAverage="0" equalAverage="0" bottom="0" percent="0" rank="0" text="" dxfId="11">
      <formula>K17="✓ מאויש"</formula>
    </cfRule>
    <cfRule type="expression" priority="24" aboveAverage="0" equalAverage="0" bottom="0" percent="0" rank="0" text="" dxfId="12">
      <formula>ISNUMBER(SEARCH("חוסר",K17))</formula>
    </cfRule>
    <cfRule type="expression" priority="25" aboveAverage="0" equalAverage="0" bottom="0" percent="0" rank="0" text="" dxfId="13">
      <formula>ISNUMBER(SEARCH("עודף",K17))</formula>
    </cfRule>
  </conditionalFormatting>
  <conditionalFormatting sqref="K18">
    <cfRule type="expression" priority="26" aboveAverage="0" equalAverage="0" bottom="0" percent="0" rank="0" text="" dxfId="11">
      <formula>K18="✓ מאויש"</formula>
    </cfRule>
    <cfRule type="expression" priority="27" aboveAverage="0" equalAverage="0" bottom="0" percent="0" rank="0" text="" dxfId="12">
      <formula>ISNUMBER(SEARCH("חוסר",K18))</formula>
    </cfRule>
    <cfRule type="expression" priority="28" aboveAverage="0" equalAverage="0" bottom="0" percent="0" rank="0" text="" dxfId="13">
      <formula>ISNUMBER(SEARCH("עודף",K18))</formula>
    </cfRule>
  </conditionalFormatting>
  <conditionalFormatting sqref="K19">
    <cfRule type="expression" priority="29" aboveAverage="0" equalAverage="0" bottom="0" percent="0" rank="0" text="" dxfId="11">
      <formula>K19="✓ מאויש"</formula>
    </cfRule>
    <cfRule type="expression" priority="30" aboveAverage="0" equalAverage="0" bottom="0" percent="0" rank="0" text="" dxfId="12">
      <formula>ISNUMBER(SEARCH("חוסר",K19))</formula>
    </cfRule>
    <cfRule type="expression" priority="31" aboveAverage="0" equalAverage="0" bottom="0" percent="0" rank="0" text="" dxfId="13">
      <formula>ISNUMBER(SEARCH("עודף",K19))</formula>
    </cfRule>
  </conditionalFormatting>
  <conditionalFormatting sqref="K20">
    <cfRule type="expression" priority="32" aboveAverage="0" equalAverage="0" bottom="0" percent="0" rank="0" text="" dxfId="11">
      <formula>K20="✓ מאויש"</formula>
    </cfRule>
    <cfRule type="expression" priority="33" aboveAverage="0" equalAverage="0" bottom="0" percent="0" rank="0" text="" dxfId="12">
      <formula>ISNUMBER(SEARCH("חוסר",K20))</formula>
    </cfRule>
    <cfRule type="expression" priority="34" aboveAverage="0" equalAverage="0" bottom="0" percent="0" rank="0" text="" dxfId="13">
      <formula>ISNUMBER(SEARCH("עודף",K20))</formula>
    </cfRule>
  </conditionalFormatting>
  <conditionalFormatting sqref="K21">
    <cfRule type="expression" priority="35" aboveAverage="0" equalAverage="0" bottom="0" percent="0" rank="0" text="" dxfId="11">
      <formula>K21="✓ מאויש"</formula>
    </cfRule>
    <cfRule type="expression" priority="36" aboveAverage="0" equalAverage="0" bottom="0" percent="0" rank="0" text="" dxfId="12">
      <formula>ISNUMBER(SEARCH("חוסר",K21))</formula>
    </cfRule>
    <cfRule type="expression" priority="37" aboveAverage="0" equalAverage="0" bottom="0" percent="0" rank="0" text="" dxfId="13">
      <formula>ISNUMBER(SEARCH("עודף",K21))</formula>
    </cfRule>
  </conditionalFormatting>
  <conditionalFormatting sqref="K22">
    <cfRule type="expression" priority="38" aboveAverage="0" equalAverage="0" bottom="0" percent="0" rank="0" text="" dxfId="11">
      <formula>K22="✓ מאויש"</formula>
    </cfRule>
    <cfRule type="expression" priority="39" aboveAverage="0" equalAverage="0" bottom="0" percent="0" rank="0" text="" dxfId="12">
      <formula>ISNUMBER(SEARCH("חוסר",K22))</formula>
    </cfRule>
    <cfRule type="expression" priority="40" aboveAverage="0" equalAverage="0" bottom="0" percent="0" rank="0" text="" dxfId="13">
      <formula>ISNUMBER(SEARCH("עודף",K22))</formula>
    </cfRule>
  </conditionalFormatting>
  <conditionalFormatting sqref="K23">
    <cfRule type="expression" priority="41" aboveAverage="0" equalAverage="0" bottom="0" percent="0" rank="0" text="" dxfId="11">
      <formula>K23="✓ מאויש"</formula>
    </cfRule>
    <cfRule type="expression" priority="42" aboveAverage="0" equalAverage="0" bottom="0" percent="0" rank="0" text="" dxfId="12">
      <formula>ISNUMBER(SEARCH("חוסר",K23))</formula>
    </cfRule>
    <cfRule type="expression" priority="43" aboveAverage="0" equalAverage="0" bottom="0" percent="0" rank="0" text="" dxfId="13">
      <formula>ISNUMBER(SEARCH("עודף",K23))</formula>
    </cfRule>
  </conditionalFormatting>
  <conditionalFormatting sqref="K24">
    <cfRule type="expression" priority="44" aboveAverage="0" equalAverage="0" bottom="0" percent="0" rank="0" text="" dxfId="11">
      <formula>K24="✓ מאויש"</formula>
    </cfRule>
    <cfRule type="expression" priority="45" aboveAverage="0" equalAverage="0" bottom="0" percent="0" rank="0" text="" dxfId="12">
      <formula>ISNUMBER(SEARCH("חוסר",K24))</formula>
    </cfRule>
    <cfRule type="expression" priority="46" aboveAverage="0" equalAverage="0" bottom="0" percent="0" rank="0" text="" dxfId="13">
      <formula>ISNUMBER(SEARCH("עודף",K24))</formula>
    </cfRule>
  </conditionalFormatting>
  <conditionalFormatting sqref="G29">
    <cfRule type="expression" priority="47" aboveAverage="0" equalAverage="0" bottom="0" percent="0" rank="0" text="" dxfId="12">
      <formula>G29&gt;0</formula>
    </cfRule>
    <cfRule type="expression" priority="48" aboveAverage="0" equalAverage="0" bottom="0" percent="0" rank="0" text="" dxfId="13">
      <formula>G29&lt;0</formula>
    </cfRule>
  </conditionalFormatting>
  <conditionalFormatting sqref="G30">
    <cfRule type="expression" priority="49" aboveAverage="0" equalAverage="0" bottom="0" percent="0" rank="0" text="" dxfId="12">
      <formula>G30&gt;0</formula>
    </cfRule>
    <cfRule type="expression" priority="50" aboveAverage="0" equalAverage="0" bottom="0" percent="0" rank="0" text="" dxfId="13">
      <formula>G30&lt;0</formula>
    </cfRule>
  </conditionalFormatting>
  <conditionalFormatting sqref="G31">
    <cfRule type="expression" priority="51" aboveAverage="0" equalAverage="0" bottom="0" percent="0" rank="0" text="" dxfId="12">
      <formula>G31&gt;0</formula>
    </cfRule>
    <cfRule type="expression" priority="52" aboveAverage="0" equalAverage="0" bottom="0" percent="0" rank="0" text="" dxfId="13">
      <formula>G31&lt;0</formula>
    </cfRule>
  </conditionalFormatting>
  <conditionalFormatting sqref="G32">
    <cfRule type="expression" priority="53" aboveAverage="0" equalAverage="0" bottom="0" percent="0" rank="0" text="" dxfId="12">
      <formula>G32&gt;0</formula>
    </cfRule>
    <cfRule type="expression" priority="54" aboveAverage="0" equalAverage="0" bottom="0" percent="0" rank="0" text="" dxfId="13">
      <formula>G32&lt;0</formula>
    </cfRule>
  </conditionalFormatting>
  <conditionalFormatting sqref="G33">
    <cfRule type="expression" priority="55" aboveAverage="0" equalAverage="0" bottom="0" percent="0" rank="0" text="" dxfId="12">
      <formula>G33&gt;0</formula>
    </cfRule>
    <cfRule type="expression" priority="56" aboveAverage="0" equalAverage="0" bottom="0" percent="0" rank="0" text="" dxfId="13">
      <formula>G33&lt;0</formula>
    </cfRule>
  </conditionalFormatting>
  <conditionalFormatting sqref="G34">
    <cfRule type="expression" priority="57" aboveAverage="0" equalAverage="0" bottom="0" percent="0" rank="0" text="" dxfId="12">
      <formula>G34&gt;0</formula>
    </cfRule>
    <cfRule type="expression" priority="58" aboveAverage="0" equalAverage="0" bottom="0" percent="0" rank="0" text="" dxfId="13">
      <formula>G34&lt;0</formula>
    </cfRule>
  </conditionalFormatting>
  <conditionalFormatting sqref="G35">
    <cfRule type="expression" priority="59" aboveAverage="0" equalAverage="0" bottom="0" percent="0" rank="0" text="" dxfId="12">
      <formula>G35&gt;0</formula>
    </cfRule>
    <cfRule type="expression" priority="60" aboveAverage="0" equalAverage="0" bottom="0" percent="0" rank="0" text="" dxfId="13">
      <formula>G35&lt;0</formula>
    </cfRule>
  </conditionalFormatting>
  <conditionalFormatting sqref="G36">
    <cfRule type="expression" priority="61" aboveAverage="0" equalAverage="0" bottom="0" percent="0" rank="0" text="" dxfId="12">
      <formula>G36&gt;0</formula>
    </cfRule>
    <cfRule type="expression" priority="62" aboveAverage="0" equalAverage="0" bottom="0" percent="0" rank="0" text="" dxfId="13">
      <formula>G36&lt;0</formula>
    </cfRule>
  </conditionalFormatting>
  <conditionalFormatting sqref="G37">
    <cfRule type="expression" priority="63" aboveAverage="0" equalAverage="0" bottom="0" percent="0" rank="0" text="" dxfId="12">
      <formula>G37&gt;0</formula>
    </cfRule>
    <cfRule type="expression" priority="64" aboveAverage="0" equalAverage="0" bottom="0" percent="0" rank="0" text="" dxfId="13">
      <formula>G37&lt;0</formula>
    </cfRule>
  </conditionalFormatting>
  <conditionalFormatting sqref="G38">
    <cfRule type="expression" priority="65" aboveAverage="0" equalAverage="0" bottom="0" percent="0" rank="0" text="" dxfId="12">
      <formula>G38&gt;0</formula>
    </cfRule>
    <cfRule type="expression" priority="66" aboveAverage="0" equalAverage="0" bottom="0" percent="0" rank="0" text="" dxfId="13">
      <formula>G38&lt;0</formula>
    </cfRule>
  </conditionalFormatting>
  <conditionalFormatting sqref="G39">
    <cfRule type="expression" priority="67" aboveAverage="0" equalAverage="0" bottom="0" percent="0" rank="0" text="" dxfId="12">
      <formula>G39&gt;0</formula>
    </cfRule>
    <cfRule type="expression" priority="68" aboveAverage="0" equalAverage="0" bottom="0" percent="0" rank="0" text="" dxfId="13">
      <formula>G39&lt;0</formula>
    </cfRule>
  </conditionalFormatting>
  <conditionalFormatting sqref="G40">
    <cfRule type="expression" priority="69" aboveAverage="0" equalAverage="0" bottom="0" percent="0" rank="0" text="" dxfId="12">
      <formula>G40&gt;0</formula>
    </cfRule>
    <cfRule type="expression" priority="70" aboveAverage="0" equalAverage="0" bottom="0" percent="0" rank="0" text="" dxfId="13">
      <formula>G40&lt;0</formula>
    </cfRule>
  </conditionalFormatting>
  <conditionalFormatting sqref="G41">
    <cfRule type="expression" priority="71" aboveAverage="0" equalAverage="0" bottom="0" percent="0" rank="0" text="" dxfId="12">
      <formula>G41&gt;0</formula>
    </cfRule>
    <cfRule type="expression" priority="72" aboveAverage="0" equalAverage="0" bottom="0" percent="0" rank="0" text="" dxfId="13">
      <formula>G41&lt;0</formula>
    </cfRule>
  </conditionalFormatting>
  <conditionalFormatting sqref="G42">
    <cfRule type="expression" priority="73" aboveAverage="0" equalAverage="0" bottom="0" percent="0" rank="0" text="" dxfId="12">
      <formula>G42&gt;0</formula>
    </cfRule>
    <cfRule type="expression" priority="74" aboveAverage="0" equalAverage="0" bottom="0" percent="0" rank="0" text="" dxfId="13">
      <formula>G42&lt;0</formula>
    </cfRule>
  </conditionalFormatting>
  <conditionalFormatting sqref="G43">
    <cfRule type="expression" priority="75" aboveAverage="0" equalAverage="0" bottom="0" percent="0" rank="0" text="" dxfId="12">
      <formula>G43&gt;0</formula>
    </cfRule>
    <cfRule type="expression" priority="76" aboveAverage="0" equalAverage="0" bottom="0" percent="0" rank="0" text="" dxfId="13">
      <formula>G43&lt;0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2026-03-20T12:05:50Z</dcterms:created>
  <dc:creator>openpyxl</dc:creator>
  <dc:description/>
  <dc:language>en-US</dc:language>
  <cp:lastModifiedBy/>
  <dcterms:modified xsi:type="dcterms:W3CDTF">2026-03-21T21:25:03Z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